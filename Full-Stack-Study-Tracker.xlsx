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TUDY TRACKER" sheetId="3" state="visible" r:id="rId3"/>
    <sheet xmlns:r="http://schemas.openxmlformats.org/officeDocument/2006/relationships" name="WEEKLY LOG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DSA LOG" sheetId="6" state="visible" r:id="rId6"/>
    <sheet xmlns:r="http://schemas.openxmlformats.org/officeDocument/2006/relationships" name="JOB APPLICATIONS" sheetId="7" state="visible" r:id="rId7"/>
    <sheet xmlns:r="http://schemas.openxmlformats.org/officeDocument/2006/relationships" name="INTERVIEW PREP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CHEAT SHEET" sheetId="10" state="visible" r:id="rId10"/>
    <sheet xmlns:r="http://schemas.openxmlformats.org/officeDocument/2006/relationships" name="SKILLS" sheetId="11" state="visible" r:id="rId11"/>
    <sheet xmlns:r="http://schemas.openxmlformats.org/officeDocument/2006/relationships" name="LISTS" sheetId="12" state="hidden" r:id="rId12"/>
  </sheets>
  <definedNames>
    <definedName name="_xlnm._FilterDatabase" localSheetId="2" hidden="1">'STUDY TRACKER'!$A$3:$K$151</definedName>
    <definedName name="_xlnm._FilterDatabase" localSheetId="3" hidden="1">'WEEKLY LOG'!$A$3:$J$35</definedName>
    <definedName name="_xlnm._FilterDatabase" localSheetId="5" hidden="1">'DSA LOG'!$A$3:$J$153</definedName>
    <definedName name="_xlnm._FilterDatabase" localSheetId="6" hidden="1">'JOB APPLICATIONS'!$A$3:$J$203</definedName>
    <definedName name="_xlnm._FilterDatabase" localSheetId="7" hidden="1">'INTERVIEW PREP'!$A$3:$G$43</definedName>
    <definedName name="_xlnm._FilterDatabase" localSheetId="8" hidden="1">'RESOURCES'!$A$3:$E$57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-mmm-yy"/>
    <numFmt numFmtId="166" formatCode="yyyy-mm-dd"/>
  </numFmts>
  <fonts count="24">
    <font>
      <name val="Calibri"/>
      <family val="2"/>
      <color theme="1"/>
      <sz val="11"/>
      <scheme val="minor"/>
    </font>
    <font>
      <name val="Calibri"/>
      <b val="1"/>
      <color rgb="001E1B2E"/>
      <sz val="18"/>
    </font>
    <font>
      <name val="Calibri"/>
      <color rgb="006A6480"/>
      <sz val="10"/>
    </font>
    <font>
      <name val="Calibri"/>
      <b val="1"/>
      <color rgb="00FF6B3D"/>
      <sz val="12"/>
    </font>
    <font>
      <name val="Calibri"/>
      <b val="1"/>
      <color rgb="007C5CFF"/>
      <sz val="10"/>
    </font>
    <font>
      <name val="Calibri"/>
      <color rgb="002E2942"/>
      <sz val="10"/>
    </font>
    <font>
      <name val="Calibri"/>
      <b val="1"/>
      <color rgb="001E1B2E"/>
      <sz val="10"/>
    </font>
    <font>
      <name val="Calibri"/>
      <b val="1"/>
      <color rgb="000E9F8A"/>
      <sz val="26"/>
    </font>
    <font>
      <name val="Calibri"/>
      <b val="1"/>
      <color rgb="006A6480"/>
      <sz val="9"/>
    </font>
    <font>
      <name val="Calibri"/>
      <b val="1"/>
      <color rgb="007C5CFF"/>
      <sz val="26"/>
    </font>
    <font>
      <name val="Calibri"/>
      <b val="1"/>
      <color rgb="00FF6B3D"/>
      <sz val="26"/>
    </font>
    <font>
      <name val="Calibri"/>
      <b val="1"/>
      <color rgb="00E0457B"/>
      <sz val="26"/>
    </font>
    <font>
      <name val="Calibri"/>
      <b val="1"/>
      <color rgb="001E1B2E"/>
      <sz val="26"/>
    </font>
    <font>
      <name val="Calibri"/>
      <b val="1"/>
      <color rgb="00B98A00"/>
      <sz val="26"/>
    </font>
    <font>
      <name val="Calibri"/>
      <b val="1"/>
      <color rgb="001E1B2E"/>
      <sz val="12"/>
    </font>
    <font>
      <name val="Calibri"/>
      <b val="1"/>
      <color rgb="00FFFFFF"/>
      <sz val="10"/>
    </font>
    <font>
      <name val="Calibri"/>
      <i val="1"/>
      <color rgb="006A6480"/>
      <sz val="9"/>
    </font>
    <font>
      <name val="Calibri"/>
      <b val="1"/>
      <color rgb="00E0457B"/>
      <sz val="12"/>
    </font>
    <font>
      <name val="Calibri"/>
      <color rgb="003A2E8C"/>
      <sz val="10"/>
      <u val="single"/>
    </font>
    <font>
      <name val="Calibri"/>
      <color rgb="001155CC"/>
      <sz val="10"/>
      <u val="single"/>
    </font>
    <font>
      <name val="Calibri"/>
      <b val="1"/>
      <color rgb="00FF6B3D"/>
      <sz val="13"/>
    </font>
    <font>
      <name val="Consolas"/>
      <b val="1"/>
      <color rgb="000B6B5C"/>
      <sz val="10"/>
    </font>
    <font>
      <name val="Consolas"/>
      <b val="1"/>
      <color rgb="001E1B2E"/>
      <sz val="10"/>
    </font>
    <font>
      <name val="Consolas"/>
      <color rgb="006A6480"/>
      <sz val="9"/>
    </font>
  </fonts>
  <fills count="22">
    <fill>
      <patternFill/>
    </fill>
    <fill>
      <patternFill patternType="gray125"/>
    </fill>
    <fill>
      <patternFill patternType="solid">
        <fgColor rgb="00FFE9E1"/>
      </patternFill>
    </fill>
    <fill>
      <patternFill patternType="solid">
        <fgColor rgb="00FFF4DA"/>
      </patternFill>
    </fill>
    <fill>
      <patternFill patternType="solid">
        <fgColor rgb="00E7F7EE"/>
      </patternFill>
    </fill>
    <fill>
      <patternFill patternType="solid">
        <fgColor rgb="00F2EEFF"/>
      </patternFill>
    </fill>
    <fill>
      <patternFill patternType="solid">
        <fgColor rgb="00FBF5EC"/>
      </patternFill>
    </fill>
    <fill>
      <patternFill patternType="solid">
        <fgColor rgb="001E1B2E"/>
      </patternFill>
    </fill>
    <fill>
      <patternFill patternType="solid">
        <fgColor rgb="00FFF6F0"/>
      </patternFill>
    </fill>
    <fill>
      <patternFill patternType="solid">
        <fgColor rgb="00FFFFFF"/>
      </patternFill>
    </fill>
    <fill>
      <patternFill patternType="solid">
        <fgColor rgb="00F7F4FF"/>
      </patternFill>
    </fill>
    <fill>
      <patternFill patternType="solid">
        <fgColor rgb="00F1FBF8"/>
      </patternFill>
    </fill>
    <fill>
      <patternFill patternType="solid">
        <fgColor rgb="00F0F9FE"/>
      </patternFill>
    </fill>
    <fill>
      <patternFill patternType="solid">
        <fgColor rgb="00FEF3F7"/>
      </patternFill>
    </fill>
    <fill>
      <patternFill patternType="solid">
        <fgColor rgb="00F8F3FE"/>
      </patternFill>
    </fill>
    <fill>
      <patternFill patternType="solid">
        <fgColor rgb="00FBF7EA"/>
      </patternFill>
    </fill>
    <fill>
      <patternFill patternType="solid">
        <fgColor rgb="00F2FAF4"/>
      </patternFill>
    </fill>
    <fill>
      <patternFill patternType="solid">
        <fgColor rgb="00EAF5FC"/>
      </patternFill>
    </fill>
    <fill>
      <patternFill patternType="solid">
        <fgColor rgb="00FDECF2"/>
      </patternFill>
    </fill>
    <fill>
      <patternFill patternType="solid">
        <fgColor rgb="00FBF4DE"/>
      </patternFill>
    </fill>
    <fill>
      <patternFill patternType="solid">
        <fgColor rgb="00EAF7EF"/>
      </patternFill>
    </fill>
    <fill>
      <patternFill patternType="solid">
        <fgColor rgb="00EAF7F3"/>
      </patternFill>
    </fill>
  </fills>
  <borders count="2">
    <border>
      <left/>
      <right/>
      <top/>
      <bottom/>
      <diagonal/>
    </border>
    <border>
      <left style="thin">
        <color rgb="00E9E1D5"/>
      </left>
      <right style="thin">
        <color rgb="00E9E1D5"/>
      </right>
      <top style="thin">
        <color rgb="00E9E1D5"/>
      </top>
      <bottom style="thin">
        <color rgb="00E9E1D5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9" fontId="7" fillId="6" borderId="0" applyAlignment="1" pivotButton="0" quotePrefix="0" xfId="0">
      <alignment horizontal="center" vertical="center"/>
    </xf>
    <xf numFmtId="3" fontId="9" fillId="6" borderId="0" applyAlignment="1" pivotButton="0" quotePrefix="0" xfId="0">
      <alignment horizontal="center" vertical="center"/>
    </xf>
    <xf numFmtId="1" fontId="10" fillId="6" borderId="0" applyAlignment="1" pivotButton="0" quotePrefix="0" xfId="0">
      <alignment horizontal="center" vertical="center"/>
    </xf>
    <xf numFmtId="1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 wrapText="1"/>
    </xf>
    <xf numFmtId="1" fontId="12" fillId="6" borderId="0" applyAlignment="1" pivotButton="0" quotePrefix="0" xfId="0">
      <alignment horizontal="center" vertical="center"/>
    </xf>
    <xf numFmtId="1" fontId="7" fillId="6" borderId="0" applyAlignment="1" pivotButton="0" quotePrefix="0" xfId="0">
      <alignment horizontal="center" vertical="center"/>
    </xf>
    <xf numFmtId="1" fontId="13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/>
    </xf>
    <xf numFmtId="9" fontId="5" fillId="6" borderId="1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164" fontId="5" fillId="8" borderId="1" applyAlignment="1" pivotButton="0" quotePrefix="0" xfId="0">
      <alignment vertical="top" wrapText="1"/>
    </xf>
    <xf numFmtId="165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vertical="top" wrapText="1"/>
    </xf>
    <xf numFmtId="165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/>
    </xf>
    <xf numFmtId="164" fontId="5" fillId="10" borderId="1" applyAlignment="1" pivotButton="0" quotePrefix="0" xfId="0">
      <alignment vertical="top" wrapText="1"/>
    </xf>
    <xf numFmtId="165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/>
    </xf>
    <xf numFmtId="164" fontId="5" fillId="11" borderId="1" applyAlignment="1" pivotButton="0" quotePrefix="0" xfId="0">
      <alignment vertical="top" wrapText="1"/>
    </xf>
    <xf numFmtId="165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/>
    </xf>
    <xf numFmtId="164" fontId="5" fillId="12" borderId="1" applyAlignment="1" pivotButton="0" quotePrefix="0" xfId="0">
      <alignment vertical="top" wrapText="1"/>
    </xf>
    <xf numFmtId="165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horizontal="center"/>
    </xf>
    <xf numFmtId="164" fontId="5" fillId="13" borderId="1" applyAlignment="1" pivotButton="0" quotePrefix="0" xfId="0">
      <alignment vertical="top" wrapText="1"/>
    </xf>
    <xf numFmtId="165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164" fontId="5" fillId="14" borderId="1" applyAlignment="1" pivotButton="0" quotePrefix="0" xfId="0">
      <alignment vertical="top" wrapText="1"/>
    </xf>
    <xf numFmtId="165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horizontal="center"/>
    </xf>
    <xf numFmtId="164" fontId="5" fillId="15" borderId="1" applyAlignment="1" pivotButton="0" quotePrefix="0" xfId="0">
      <alignment vertical="top" wrapText="1"/>
    </xf>
    <xf numFmtId="165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horizontal="center"/>
    </xf>
    <xf numFmtId="164" fontId="5" fillId="16" borderId="1" applyAlignment="1" pivotButton="0" quotePrefix="0" xfId="0">
      <alignment vertical="top" wrapText="1"/>
    </xf>
    <xf numFmtId="165" fontId="5" fillId="16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17" borderId="1" applyAlignment="1" pivotButton="0" quotePrefix="0" xfId="0">
      <alignment horizontal="center"/>
    </xf>
    <xf numFmtId="165" fontId="5" fillId="17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5" fillId="18" borderId="1" applyAlignment="1" pivotButton="0" quotePrefix="0" xfId="0">
      <alignment horizontal="center"/>
    </xf>
    <xf numFmtId="165" fontId="5" fillId="18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horizontal="center"/>
    </xf>
    <xf numFmtId="165" fontId="5" fillId="19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horizontal="center"/>
    </xf>
    <xf numFmtId="165" fontId="5" fillId="20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6" fillId="6" borderId="1" pivotButton="0" quotePrefix="0" xfId="0"/>
    <xf numFmtId="0" fontId="20" fillId="0" borderId="0" pivotButton="0" quotePrefix="0" xfId="0"/>
    <xf numFmtId="0" fontId="21" fillId="21" borderId="1" pivotButton="0" quotePrefix="0" xfId="0"/>
    <xf numFmtId="0" fontId="5" fillId="0" borderId="1" applyAlignment="1" pivotButton="0" quotePrefix="0" xfId="0">
      <alignment vertical="center" wrapText="1"/>
    </xf>
    <xf numFmtId="0" fontId="22" fillId="5" borderId="1" pivotButton="0" quotePrefix="0" xfId="0"/>
    <xf numFmtId="0" fontId="19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dxfs count="15">
    <dxf>
      <font>
        <name val="Calibri"/>
        <b val="1"/>
        <color rgb="001F6B3F"/>
        <sz val="10"/>
      </font>
      <fill>
        <patternFill patternType="solid">
          <fgColor rgb="00E7F7EE"/>
        </patternFill>
      </fill>
    </dxf>
    <dxf>
      <font>
        <name val="Calibri"/>
        <b val="1"/>
        <color rgb="008A6100"/>
        <sz val="10"/>
      </font>
      <fill>
        <patternFill patternType="solid">
          <fgColor rgb="00FFF4DA"/>
        </patternFill>
      </fill>
    </dxf>
    <dxf>
      <font>
        <name val="Calibri"/>
        <b val="1"/>
        <color rgb="005B3BBF"/>
        <sz val="10"/>
      </font>
      <fill>
        <patternFill patternType="solid">
          <fgColor rgb="00F2EEFF"/>
        </patternFill>
      </fill>
    </dxf>
    <dxf>
      <fill>
        <patternFill patternType="solid">
          <fgColor rgb="00FFE9E1"/>
        </patternFill>
      </fill>
    </dxf>
    <dxf>
      <font>
        <name val="Calibri"/>
        <b val="1"/>
        <color rgb="001F6B3F"/>
      </font>
      <fill>
        <patternFill patternType="solid">
          <fgColor rgb="00E7F7EE"/>
        </patternFill>
      </fill>
    </dxf>
    <dxf>
      <fill>
        <patternFill patternType="solid">
          <fgColor rgb="00FFF4DA"/>
        </patternFill>
      </fill>
    </dxf>
    <dxf>
      <fill>
        <patternFill patternType="solid">
          <fgColor rgb="00F2EEFF"/>
        </patternFill>
      </fill>
    </dxf>
    <dxf>
      <font>
        <name val="Calibri"/>
        <b val="1"/>
        <color rgb="008A6100"/>
      </font>
      <fill>
        <patternFill patternType="solid">
          <fgColor rgb="00FFF4DA"/>
        </patternFill>
      </fill>
    </dxf>
    <dxf>
      <font>
        <name val="Calibri"/>
        <b val="1"/>
        <color rgb="001E5A8A"/>
      </font>
      <fill>
        <patternFill patternType="solid">
          <fgColor rgb="00EAF5FC"/>
        </patternFill>
      </fill>
    </dxf>
    <dxf>
      <font>
        <name val="Calibri"/>
        <b val="1"/>
        <color rgb="005B3BBF"/>
      </font>
      <fill>
        <patternFill patternType="solid">
          <fgColor rgb="00F2EEFF"/>
        </patternFill>
      </fill>
    </dxf>
    <dxf>
      <font>
        <name val="Calibri"/>
        <b val="1"/>
        <color rgb="006A6480"/>
      </font>
      <fill>
        <patternFill patternType="solid">
          <fgColor rgb="00F1F1F1"/>
        </patternFill>
      </fill>
    </dxf>
    <dxf>
      <fill>
        <patternFill patternType="solid">
          <fgColor rgb="00E7F7EE"/>
        </patternFill>
      </fill>
    </dxf>
    <dxf>
      <font>
        <name val="Calibri"/>
        <b val="1"/>
        <color rgb="00B3401D"/>
      </font>
      <fill>
        <patternFill patternType="solid">
          <fgColor rgb="00FFE9E1"/>
        </patternFill>
      </fill>
    </dxf>
    <dxf>
      <fill>
        <patternFill patternType="solid">
          <fgColor rgb="00E8F6F2"/>
        </patternFill>
      </fill>
    </dxf>
    <dxf>
      <fill>
        <patternFill patternType="solid">
          <fgColor rgb="00F1F1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apGV9Kg7ics" TargetMode="External" Id="rId1"/><Relationship Type="http://schemas.openxmlformats.org/officeDocument/2006/relationships/hyperlink" Target="https://www.youtube.com/watch?v=EerdGm-ehJQ" TargetMode="External" Id="rId2"/><Relationship Type="http://schemas.openxmlformats.org/officeDocument/2006/relationships/hyperlink" Target="https://www.youtube.com/playlist?list=PLu71SKxNbfoDqgPchmvIsL4hTnJIrtige" TargetMode="External" Id="rId3"/><Relationship Type="http://schemas.openxmlformats.org/officeDocument/2006/relationships/hyperlink" Target="https://www.youtube.com/watch?v=7fjOw8ApZ1I" TargetMode="External" Id="rId4"/><Relationship Type="http://schemas.openxmlformats.org/officeDocument/2006/relationships/hyperlink" Target="https://www.youtube.com/watch?v=7S_tz1z_5bA" TargetMode="External" Id="rId5"/><Relationship Type="http://schemas.openxmlformats.org/officeDocument/2006/relationships/hyperlink" Target="https://www.youtube.com/watch?v=3c-iBn73dDE" TargetMode="External" Id="rId6"/><Relationship Type="http://schemas.openxmlformats.org/officeDocument/2006/relationships/hyperlink" Target="https://takeuforward.org/dsa/strivers-a2z-sheet-learn-dsa-a-to-z" TargetMode="External" Id="rId7"/><Relationship Type="http://schemas.openxmlformats.org/officeDocument/2006/relationships/hyperlink" Target="https://www.youtube.com/playlist?list=PLeo1K3hjS3uva8pk1FI3iK9kCOKQdz1I9" TargetMode="External" Id="rId8"/><Relationship Type="http://schemas.openxmlformats.org/officeDocument/2006/relationships/hyperlink" Target="https://github.com/donnemartin/system-design-primer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youtube.com/watch?v=apGV9Kg7ics" TargetMode="External" Id="rId1"/><Relationship Type="http://schemas.openxmlformats.org/officeDocument/2006/relationships/hyperlink" Target="https://www.youtube.com/watch?v=G3e-cpL7ofc" TargetMode="External" Id="rId2"/><Relationship Type="http://schemas.openxmlformats.org/officeDocument/2006/relationships/hyperlink" Target="https://roadmap.sh/frontend" TargetMode="External" Id="rId3"/><Relationship Type="http://schemas.openxmlformats.org/officeDocument/2006/relationships/hyperlink" Target="https://www.youtube.com/watch?v=EerdGm-ehJQ" TargetMode="External" Id="rId4"/><Relationship Type="http://schemas.openxmlformats.org/officeDocument/2006/relationships/hyperlink" Target="https://www.youtube.com/playlist?list=PLlasXeu85E9cQ32gLCvAvr9vNaUccPVNP" TargetMode="External" Id="rId5"/><Relationship Type="http://schemas.openxmlformats.org/officeDocument/2006/relationships/hyperlink" Target="https://javascript.info" TargetMode="External" Id="rId6"/><Relationship Type="http://schemas.openxmlformats.org/officeDocument/2006/relationships/hyperlink" Target="https://www.youtube.com/playlist?list=PLu71SKxNbfoDqgPchmvIsL4hTnJIrtige" TargetMode="External" Id="rId7"/><Relationship Type="http://schemas.openxmlformats.org/officeDocument/2006/relationships/hyperlink" Target="https://www.youtube.com/playlist?list=PLRAV69dS1uWRPSfKzwZsIm-Axxq-LxqhW" TargetMode="External" Id="rId8"/><Relationship Type="http://schemas.openxmlformats.org/officeDocument/2006/relationships/hyperlink" Target="https://react.dev/learn" TargetMode="External" Id="rId9"/><Relationship Type="http://schemas.openxmlformats.org/officeDocument/2006/relationships/hyperlink" Target="https://tailwindcss.com/docs" TargetMode="External" Id="rId10"/><Relationship Type="http://schemas.openxmlformats.org/officeDocument/2006/relationships/hyperlink" Target="https://www.youtube.com/watch?v=7fjOw8ApZ1I" TargetMode="External" Id="rId11"/><Relationship Type="http://schemas.openxmlformats.org/officeDocument/2006/relationships/hyperlink" Target="https://www.youtube.com/watch?v=zb3Qk8SG5Ms" TargetMode="External" Id="rId12"/><Relationship Type="http://schemas.openxmlformats.org/officeDocument/2006/relationships/hyperlink" Target="https://learn.mongodb.com" TargetMode="External" Id="rId13"/><Relationship Type="http://schemas.openxmlformats.org/officeDocument/2006/relationships/hyperlink" Target="https://www.youtube.com/watch?v=7S_tz1z_5bA" TargetMode="External" Id="rId14"/><Relationship Type="http://schemas.openxmlformats.org/officeDocument/2006/relationships/hyperlink" Target="https://www.youtube.com/watch?v=_uQrJ0TkZlc" TargetMode="External" Id="rId15"/><Relationship Type="http://schemas.openxmlformats.org/officeDocument/2006/relationships/hyperlink" Target="https://docs.djangoproject.com/en/stable/intro/tutorial01/" TargetMode="External" Id="rId16"/><Relationship Type="http://schemas.openxmlformats.org/officeDocument/2006/relationships/hyperlink" Target="https://www.youtube.com/watch?v=3c-iBn73dDE" TargetMode="External" Id="rId17"/><Relationship Type="http://schemas.openxmlformats.org/officeDocument/2006/relationships/hyperlink" Target="https://docs.github.com/en/actions" TargetMode="External" Id="rId18"/><Relationship Type="http://schemas.openxmlformats.org/officeDocument/2006/relationships/hyperlink" Target="https://vercel.com/docs" TargetMode="External" Id="rId19"/><Relationship Type="http://schemas.openxmlformats.org/officeDocument/2006/relationships/hyperlink" Target="https://takeuforward.org/dsa/strivers-a2z-sheet-learn-dsa-a-to-z" TargetMode="External" Id="rId20"/><Relationship Type="http://schemas.openxmlformats.org/officeDocument/2006/relationships/hyperlink" Target="https://www.youtube.com/playlist?list=PLgUwDviBIf0oF6QL8m22w1hIDC1vJ_BHz" TargetMode="External" Id="rId21"/><Relationship Type="http://schemas.openxmlformats.org/officeDocument/2006/relationships/hyperlink" Target="https://neetcode.io/roadmap" TargetMode="External" Id="rId22"/><Relationship Type="http://schemas.openxmlformats.org/officeDocument/2006/relationships/hyperlink" Target="https://www.youtube.com/playlist?list=PLeo1K3hjS3uva8pk1FI3iK9kCOKQdz1I9" TargetMode="External" Id="rId23"/><Relationship Type="http://schemas.openxmlformats.org/officeDocument/2006/relationships/hyperlink" Target="https://learn.microsoft.com/en-us/credentials/certifications/data-analyst-associate/" TargetMode="External" Id="rId24"/><Relationship Type="http://schemas.openxmlformats.org/officeDocument/2006/relationships/hyperlink" Target="https://learn.microsoft.com/en-us/dax/" TargetMode="External" Id="rId25"/><Relationship Type="http://schemas.openxmlformats.org/officeDocument/2006/relationships/hyperlink" Target="https://github.com/donnemartin/system-design-primer" TargetMode="External" Id="rId26"/><Relationship Type="http://schemas.openxmlformats.org/officeDocument/2006/relationships/hyperlink" Target="https://www.geeksforgeeks.org/frontend-interview-questions/" TargetMode="External" Id="rId27"/><Relationship Type="http://schemas.openxmlformats.org/officeDocument/2006/relationships/hyperlink" Target="https://www.youtube.com/@BrototypeMalayalam" TargetMode="External" Id="rId28"/><Relationship Type="http://schemas.openxmlformats.org/officeDocument/2006/relationships/hyperlink" Target="https://infopark.in/companies-job" TargetMode="External" Id="rId29"/><Relationship Type="http://schemas.openxmlformats.org/officeDocument/2006/relationships/hyperlink" Target="https://www.technopark.org" TargetMode="External" Id="rId30"/><Relationship Type="http://schemas.openxmlformats.org/officeDocument/2006/relationships/hyperlink" Target="https://www.naukri.com" TargetMode="External" Id="rId31"/><Relationship Type="http://schemas.openxmlformats.org/officeDocument/2006/relationships/hyperlink" Target="https://www.linkedin.com/jobs" TargetMode="External" Id="rId32"/><Relationship Type="http://schemas.openxmlformats.org/officeDocument/2006/relationships/hyperlink" Target="https://www.foundit.in" TargetMode="External" Id="rId33"/><Relationship Type="http://schemas.openxmlformats.org/officeDocument/2006/relationships/hyperlink" Target="https://in.indeed.com" TargetMode="External" Id="rId34"/><Relationship Type="http://schemas.openxmlformats.org/officeDocument/2006/relationships/hyperlink" Target="https://www.instahyre.com" TargetMode="External" Id="rId35"/><Relationship Type="http://schemas.openxmlformats.org/officeDocument/2006/relationships/hyperlink" Target="https://cutshort.io" TargetMode="External" Id="rId36"/><Relationship Type="http://schemas.openxmlformats.org/officeDocument/2006/relationships/hyperlink" Target="https://wellfound.com" TargetMode="External" Id="rId37"/><Relationship Type="http://schemas.openxmlformats.org/officeDocument/2006/relationships/hyperlink" Target="https://www.hirist.tech" TargetMode="External" Id="rId38"/><Relationship Type="http://schemas.openxmlformats.org/officeDocument/2006/relationships/hyperlink" Target="https://internshala.com" TargetMode="External" Id="rId39"/><Relationship Type="http://schemas.openxmlformats.org/officeDocument/2006/relationships/hyperlink" Target="https://startupmission.kerala.gov.in" TargetMode="External" Id="rId40"/><Relationship Type="http://schemas.openxmlformats.org/officeDocument/2006/relationships/hyperlink" Target="https://code.visualstudio.com/shortcuts/keyboard-shortcuts-windows.pdf" TargetMode="External" Id="rId41"/><Relationship Type="http://schemas.openxmlformats.org/officeDocument/2006/relationships/hyperlink" Target="https://education.github.com/git-cheat-sheet-education.pdf" TargetMode="External" Id="rId42"/><Relationship Type="http://schemas.openxmlformats.org/officeDocument/2006/relationships/hyperlink" Target="https://docs.docker.com/get-started/docker_cheatsheet.pdf" TargetMode="External" Id="rId43"/><Relationship Type="http://schemas.openxmlformats.org/officeDocument/2006/relationships/hyperlink" Target="https://developer.chrome.com/docs/devtools/shortcuts" TargetMode="External" Id="rId44"/><Relationship Type="http://schemas.openxmlformats.org/officeDocument/2006/relationships/hyperlink" Target="https://developer.mozilla.org/en-US/docs/Web/JavaScript/Reference" TargetMode="External" Id="rId45"/><Relationship Type="http://schemas.openxmlformats.org/officeDocument/2006/relationships/hyperlink" Target="https://react.dev/learn" TargetMode="External" Id="rId46"/><Relationship Type="http://schemas.openxmlformats.org/officeDocument/2006/relationships/hyperlink" Target="https://nodejs.org/en/learn" TargetMode="External" Id="rId47"/><Relationship Type="http://schemas.openxmlformats.org/officeDocument/2006/relationships/hyperlink" Target="https://www.w3schools.com/sql/sql_quickref.asp" TargetMode="External" Id="rId48"/><Relationship Type="http://schemas.openxmlformats.org/officeDocument/2006/relationships/hyperlink" Target="https://learn.microsoft.com/en-us/power-bi/create-reports/desktop-keyboard-shortcuts" TargetMode="External" Id="rId49"/><Relationship Type="http://schemas.openxmlformats.org/officeDocument/2006/relationships/hyperlink" Target="https://www.markdownguide.org/cheat-sheet/" TargetMode="External" Id="rId50"/><Relationship Type="http://schemas.openxmlformats.org/officeDocument/2006/relationships/hyperlink" Target="https://devdocs.io" TargetMode="External" Id="rId51"/><Relationship Type="http://schemas.openxmlformats.org/officeDocument/2006/relationships/hyperlink" Target="https://regex101.com" TargetMode="External" Id="rId52"/><Relationship Type="http://schemas.openxmlformats.org/officeDocument/2006/relationships/hyperlink" Target="https://caniuse.com" TargetMode="External" Id="rId53"/><Relationship Type="http://schemas.openxmlformats.org/officeDocument/2006/relationships/hyperlink" Target="https://roadmap.sh/full-stack" TargetMode="External" Id="rId54"/></Relationships>
</file>

<file path=xl/worksheets/_rels/sheet10.xml.rels><Relationships xmlns="http://schemas.openxmlformats.org/package/2006/relationships"><Relationship Type="http://schemas.openxmlformats.org/officeDocument/2006/relationships/hyperlink" Target="https://code.visualstudio.com/shortcuts/keyboard-shortcuts-windows.pdf" TargetMode="External" Id="rId1"/><Relationship Type="http://schemas.openxmlformats.org/officeDocument/2006/relationships/hyperlink" Target="https://education.github.com/git-cheat-sheet-education.pdf" TargetMode="External" Id="rId2"/><Relationship Type="http://schemas.openxmlformats.org/officeDocument/2006/relationships/hyperlink" Target="https://docs.docker.com/get-started/docker_cheatsheet.pdf" TargetMode="External" Id="rId3"/></Relationships>
</file>

<file path=xl/worksheets/sheet1.xml><?xml version="1.0" encoding="utf-8"?>
<worksheet xmlns="http://schemas.openxmlformats.org/spreadsheetml/2006/main">
  <sheetPr>
    <tabColor rgb="00FF6B3D"/>
    <outlinePr summaryBelow="1" summaryRight="1"/>
    <pageSetUpPr fitToPage="1"/>
  </sheetPr>
  <dimension ref="A1:C35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1" ht="34" customHeight="1">
      <c r="A1" s="1" t="inlineStr">
        <is>
          <t>OPERATION FULL STACK — Kerala Edition</t>
        </is>
      </c>
    </row>
    <row r="2" ht="30" customHeight="1">
      <c r="A2" s="2" t="inlineStr">
        <is>
          <t>Your companion workbook. Works with the HTML roadmap (Full-Stack-Roadmap-Kerala.html). Tick, log, apply, repeat.</t>
        </is>
      </c>
    </row>
    <row r="4" ht="46" customHeight="1">
      <c r="B4" s="3" t="inlineStr">
        <is>
          <t>Your mission</t>
        </is>
      </c>
      <c r="C4" s="4" t="inlineStr">
        <is>
          <t>Move from frontend intern → full-stack developer (MERN + TypeScript, with Python and Power BI as multipliers) and land a role in Kerala, South India, or a major Indian IT hub. Target window: 32 weeks.</t>
        </is>
      </c>
    </row>
    <row r="6">
      <c r="B6" s="3" t="inlineStr">
        <is>
          <t>How to use this workbook</t>
        </is>
      </c>
    </row>
    <row r="7" ht="26" customHeight="1">
      <c r="B7" s="5" t="inlineStr">
        <is>
          <t>DASHBOARD</t>
        </is>
      </c>
      <c r="C7" s="6" t="inlineStr">
        <is>
          <t>Live progress. Formulas update automatically as you fill the other tabs. Look here every Sunday.</t>
        </is>
      </c>
    </row>
    <row r="8" ht="26" customHeight="1">
      <c r="B8" s="5" t="inlineStr">
        <is>
          <t>STUDY TRACKER</t>
        </is>
      </c>
      <c r="C8" s="6" t="inlineStr">
        <is>
          <t>148 topic checkpoints across 9 seasons. Set Status = Done when you can explain it without notes.</t>
        </is>
      </c>
    </row>
    <row r="9" ht="26" customHeight="1">
      <c r="B9" s="5" t="inlineStr">
        <is>
          <t>WEEKLY LOG</t>
        </is>
      </c>
      <c r="C9" s="6" t="inlineStr">
        <is>
          <t>32 weeks pre-dated from Mon 19 Oct 2026. Log hours, DSA count, wins and blockers every week.</t>
        </is>
      </c>
    </row>
    <row r="10" ht="26" customHeight="1">
      <c r="B10" s="5" t="inlineStr">
        <is>
          <t>PROJECTS</t>
        </is>
      </c>
      <c r="C10" s="6" t="inlineStr">
        <is>
          <t>The 5-project ladder with milestone checklists. A project is 'done' only when it is deployed.</t>
        </is>
      </c>
    </row>
    <row r="11" ht="26" customHeight="1">
      <c r="B11" s="5" t="inlineStr">
        <is>
          <t>DSA LOG</t>
        </is>
      </c>
      <c r="C11" s="6" t="inlineStr">
        <is>
          <t>150 rows pre-filled with 20 patterns + 30 starter problems. 45 minutes a day from week 3.</t>
        </is>
      </c>
    </row>
    <row r="12" ht="26" customHeight="1">
      <c r="B12" s="5" t="inlineStr">
        <is>
          <t>JOB APPLICATIONS</t>
        </is>
      </c>
      <c r="C12" s="6" t="inlineStr">
        <is>
          <t>Every application, referral, status and follow-up date. Never lose a lead.</t>
        </is>
      </c>
    </row>
    <row r="13" ht="26" customHeight="1">
      <c r="B13" s="5" t="inlineStr">
        <is>
          <t>INTERVIEW PREP</t>
        </is>
      </c>
      <c r="C13" s="6" t="inlineStr">
        <is>
          <t>40 real fresher questions. Write your answer in your own words, rate confidence, revise weekly.</t>
        </is>
      </c>
    </row>
    <row r="14" ht="26" customHeight="1">
      <c r="B14" s="5" t="inlineStr">
        <is>
          <t>RESOURCES</t>
        </is>
      </c>
      <c r="C14" s="6" t="inlineStr">
        <is>
          <t>All verified YouTube courses, docs, PDF cheat sheets and Kerala job boards in one place.</t>
        </is>
      </c>
    </row>
    <row r="15" ht="26" customHeight="1">
      <c r="B15" s="5" t="inlineStr">
        <is>
          <t>CHEAT SHEET</t>
        </is>
      </c>
      <c r="C15" s="6" t="inlineStr">
        <is>
          <t>Git commands, VS Code shortcuts, JS array methods — the printable stuff.</t>
        </is>
      </c>
    </row>
    <row r="16" ht="26" customHeight="1">
      <c r="B16" s="5" t="inlineStr">
        <is>
          <t>SKILLS</t>
        </is>
      </c>
      <c r="C16" s="6" t="inlineStr">
        <is>
          <t>Rate yourself now vs target. Evidence column = which project proves it.</t>
        </is>
      </c>
    </row>
    <row r="18">
      <c r="B18" s="3" t="inlineStr">
        <is>
          <t>The week</t>
        </is>
      </c>
    </row>
    <row r="19">
      <c r="B19" s="7" t="inlineStr">
        <is>
          <t>Mon–Thu</t>
        </is>
      </c>
      <c r="C19" s="6" t="inlineStr">
        <is>
          <t>6 hours — Theory → code-along → build-alone → DSA → log</t>
        </is>
      </c>
    </row>
    <row r="20">
      <c r="B20" s="7" t="inlineStr">
        <is>
          <t>Friday</t>
        </is>
      </c>
      <c r="C20" s="6" t="inlineStr">
        <is>
          <t>Project day — 6+ hours of pure building. No new videos. Ship something.</t>
        </is>
      </c>
    </row>
    <row r="21">
      <c r="B21" s="7" t="inlineStr">
        <is>
          <t>Saturday</t>
        </is>
      </c>
      <c r="C21" s="6" t="inlineStr">
        <is>
          <t>Recovery + 1h — Rest, family, gym. Optional: 1 hour of job-portal browsing.</t>
        </is>
      </c>
    </row>
    <row r="22">
      <c r="B22" s="7" t="inlineStr">
        <is>
          <t>Sunday</t>
        </is>
      </c>
      <c r="C22" s="6" t="inlineStr">
        <is>
          <t>Recovery — Zero study guilt. Burnout is the real final boss.</t>
        </is>
      </c>
    </row>
    <row r="24">
      <c r="B24" s="3" t="inlineStr">
        <is>
          <t>Five laws</t>
        </is>
      </c>
    </row>
    <row r="25">
      <c r="B25" t="inlineStr">
        <is>
          <t>•</t>
        </is>
      </c>
      <c r="C25" s="6" t="inlineStr">
        <is>
          <t>70/30 rule: 70% building, 30% watching. Every video ends with the tab closed.</t>
        </is>
      </c>
    </row>
    <row r="26">
      <c r="B26" t="inlineStr">
        <is>
          <t>•</t>
        </is>
      </c>
      <c r="C26" s="6" t="inlineStr">
        <is>
          <t>One boss per season: no new phase until the deliverable is deployed.</t>
        </is>
      </c>
    </row>
    <row r="27">
      <c r="B27" t="inlineStr">
        <is>
          <t>•</t>
        </is>
      </c>
      <c r="C27" s="6" t="inlineStr">
        <is>
          <t>Daily commit: a green GitHub square is proof of life.</t>
        </is>
      </c>
    </row>
    <row r="28">
      <c r="B28" t="inlineStr">
        <is>
          <t>•</t>
        </is>
      </c>
      <c r="C28" s="6" t="inlineStr">
        <is>
          <t>45 min DSA daily from week 3 — not 5-hour Sunday marathons.</t>
        </is>
      </c>
    </row>
    <row r="29">
      <c r="B29" t="inlineStr">
        <is>
          <t>•</t>
        </is>
      </c>
      <c r="C29" s="6" t="inlineStr">
        <is>
          <t>One rest day. Burnout is the real final boss.</t>
        </is>
      </c>
    </row>
    <row r="31">
      <c r="B31" s="3" t="inlineStr">
        <is>
          <t>Legend</t>
        </is>
      </c>
    </row>
    <row r="32">
      <c r="B32" s="8" t="inlineStr">
        <is>
          <t>Not started</t>
        </is>
      </c>
      <c r="C32" s="9" t="inlineStr">
        <is>
          <t>No work yet</t>
        </is>
      </c>
    </row>
    <row r="33">
      <c r="B33" s="10" t="inlineStr">
        <is>
          <t>In progress</t>
        </is>
      </c>
      <c r="C33" s="9" t="inlineStr">
        <is>
          <t>Actively learning / building</t>
        </is>
      </c>
    </row>
    <row r="34">
      <c r="B34" s="11" t="inlineStr">
        <is>
          <t>Done</t>
        </is>
      </c>
      <c r="C34" s="9" t="inlineStr">
        <is>
          <t>You can explain and rebuild it</t>
        </is>
      </c>
    </row>
    <row r="35">
      <c r="B35" s="12" t="inlineStr">
        <is>
          <t>Revise</t>
        </is>
      </c>
      <c r="C35" s="9" t="inlineStr">
        <is>
          <t>Done once, needs a second pass</t>
        </is>
      </c>
    </row>
  </sheetData>
  <mergeCells count="2">
    <mergeCell ref="A1:C1"/>
    <mergeCell ref="A2:C2"/>
  </mergeCell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E0457B"/>
    <outlinePr summaryBelow="1" summaryRight="1"/>
    <pageSetUpPr fitToPage="1"/>
  </sheetPr>
  <dimension ref="A1:I32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4" customHeight="1">
      <c r="A1" s="1" t="inlineStr">
        <is>
          <t>DASHBOARD</t>
        </is>
      </c>
    </row>
    <row r="2" ht="30" customHeight="1">
      <c r="A2" s="2" t="inlineStr">
        <is>
          <t>Everything below is formula-driven. Fill the other tabs and this updates itself.</t>
        </is>
      </c>
    </row>
    <row r="3">
      <c r="B3" s="13">
        <f>IFERROR(COUNTIF('STUDY TRACKER'!$H$4:$H$151,"Done")/COUNTA('STUDY TRACKER'!$C$4:$C$151),0)</f>
        <v/>
      </c>
      <c r="D3" s="14">
        <f>SUM('WEEKLY LOG'!$E$4:$E$35)</f>
        <v/>
      </c>
      <c r="F3" s="15">
        <f>COUNTIF('DSA LOG'!$F$4:$F$153,"Solved")</f>
        <v/>
      </c>
      <c r="H3" s="16">
        <f>COUNTA('JOB APPLICATIONS'!$B$4:$B$203)</f>
        <v/>
      </c>
    </row>
    <row r="4">
      <c r="B4" s="17" t="inlineStr">
        <is>
          <t>STUDY PROGRESS</t>
        </is>
      </c>
      <c r="D4" s="17" t="inlineStr">
        <is>
          <t>HOURS LOGGED</t>
        </is>
      </c>
      <c r="F4" s="17" t="inlineStr">
        <is>
          <t>DSA PROBLEMS SOLVED</t>
        </is>
      </c>
      <c r="H4" s="17" t="inlineStr">
        <is>
          <t>APPLICATIONS SENT</t>
        </is>
      </c>
    </row>
    <row r="7">
      <c r="B7" s="18">
        <f>COUNTIF('JOB APPLICATIONS'!$G$4:$G$203,"Interview")+COUNTIF('JOB APPLICATIONS'!$G$4:$G$203,"Offer")</f>
        <v/>
      </c>
      <c r="D7" s="19">
        <f>COUNTIF('PROJECTS'!$I$4:$I$8,"Deployed")</f>
        <v/>
      </c>
      <c r="F7" s="20">
        <f>COUNTIF('STUDY TRACKER'!$H$4:$H$151,"In progress")</f>
        <v/>
      </c>
      <c r="H7" s="21">
        <f>IFERROR(ROUND(AVERAGEIF('STUDY TRACKER'!$I$4:$I$151,"&gt;0"),1),0)</f>
        <v/>
      </c>
    </row>
    <row r="8">
      <c r="B8" s="17" t="inlineStr">
        <is>
          <t>INTERVIEWS</t>
        </is>
      </c>
      <c r="D8" s="17" t="inlineStr">
        <is>
          <t>PROJECTS DEPLOYED</t>
        </is>
      </c>
      <c r="F8" s="17" t="inlineStr">
        <is>
          <t>TOPICS IN PROGRESS</t>
        </is>
      </c>
      <c r="H8" s="17" t="inlineStr">
        <is>
          <t>AVG CONFIDENCE</t>
        </is>
      </c>
    </row>
    <row r="10">
      <c r="B10" s="22" t="inlineStr">
        <is>
          <t>SEASON PROGRESS</t>
        </is>
      </c>
    </row>
    <row r="11" ht="28" customHeight="1">
      <c r="A11" s="23" t="inlineStr">
        <is>
          <t>Season</t>
        </is>
      </c>
      <c r="B11" s="23" t="inlineStr">
        <is>
          <t>Topics done</t>
        </is>
      </c>
      <c r="C11" s="23" t="inlineStr">
        <is>
          <t>Total</t>
        </is>
      </c>
      <c r="D11" s="23" t="inlineStr">
        <is>
          <t>% complete</t>
        </is>
      </c>
      <c r="E11" s="23" t="inlineStr">
        <is>
          <t>Planned hrs</t>
        </is>
      </c>
      <c r="F11" s="23" t="inlineStr">
        <is>
          <t>Hours logged*</t>
        </is>
      </c>
    </row>
    <row r="12">
      <c r="B12" s="24" t="inlineStr">
        <is>
          <t>01 🎮 Setup, Git &amp; HTML/CSS Pro</t>
        </is>
      </c>
      <c r="C12" s="25">
        <f>COUNTIFS('STUDY TRACKER'!$A$4:$A$151,$B12,'STUDY TRACKER'!$H$4:$H$151,"Done")</f>
        <v/>
      </c>
      <c r="D12" s="25">
        <f>COUNTIF('STUDY TRACKER'!$A$4:$A$151,$B12)</f>
        <v/>
      </c>
      <c r="E12" s="26">
        <f>IFERROR(C12/D12,0)</f>
        <v/>
      </c>
      <c r="F12" s="25" t="n">
        <v>24</v>
      </c>
      <c r="G12" s="25" t="n">
        <v>24</v>
      </c>
    </row>
    <row r="13">
      <c r="B13" s="24" t="inlineStr">
        <is>
          <t>02 ⚡ JavaScript Deep Dive</t>
        </is>
      </c>
      <c r="C13" s="25">
        <f>COUNTIFS('STUDY TRACKER'!$A$4:$A$151,$B13,'STUDY TRACKER'!$H$4:$H$151,"Done")</f>
        <v/>
      </c>
      <c r="D13" s="25">
        <f>COUNTIF('STUDY TRACKER'!$A$4:$A$151,$B13)</f>
        <v/>
      </c>
      <c r="E13" s="26">
        <f>IFERROR(C13/D13,0)</f>
        <v/>
      </c>
      <c r="F13" s="25" t="n">
        <v>70</v>
      </c>
      <c r="G13" s="25" t="n">
        <v>70</v>
      </c>
    </row>
    <row r="14">
      <c r="B14" s="24" t="inlineStr">
        <is>
          <t>03 🔥 React + TypeScript + Tailwind</t>
        </is>
      </c>
      <c r="C14" s="25">
        <f>COUNTIFS('STUDY TRACKER'!$A$4:$A$151,$B14,'STUDY TRACKER'!$H$4:$H$151,"Done")</f>
        <v/>
      </c>
      <c r="D14" s="25">
        <f>COUNTIF('STUDY TRACKER'!$A$4:$A$151,$B14)</f>
        <v/>
      </c>
      <c r="E14" s="26">
        <f>IFERROR(C14/D14,0)</f>
        <v/>
      </c>
      <c r="F14" s="25" t="n">
        <v>80</v>
      </c>
      <c r="G14" s="25" t="n">
        <v>80</v>
      </c>
    </row>
    <row r="15">
      <c r="B15" s="24" t="inlineStr">
        <is>
          <t>04 🏰 Node.js + Express + MongoDB</t>
        </is>
      </c>
      <c r="C15" s="25">
        <f>COUNTIFS('STUDY TRACKER'!$A$4:$A$151,$B15,'STUDY TRACKER'!$H$4:$H$151,"Done")</f>
        <v/>
      </c>
      <c r="D15" s="25">
        <f>COUNTIF('STUDY TRACKER'!$A$4:$A$151,$B15)</f>
        <v/>
      </c>
      <c r="E15" s="26">
        <f>IFERROR(C15/D15,0)</f>
        <v/>
      </c>
      <c r="F15" s="25" t="n">
        <v>90</v>
      </c>
      <c r="G15" s="25" t="n">
        <v>90</v>
      </c>
    </row>
    <row r="16">
      <c r="B16" s="24" t="inlineStr">
        <is>
          <t>05 🗺️ SQL + Python (Kerala JD insurance)</t>
        </is>
      </c>
      <c r="C16" s="25">
        <f>COUNTIFS('STUDY TRACKER'!$A$4:$A$151,$B16,'STUDY TRACKER'!$H$4:$H$151,"Done")</f>
        <v/>
      </c>
      <c r="D16" s="25">
        <f>COUNTIF('STUDY TRACKER'!$A$4:$A$151,$B16)</f>
        <v/>
      </c>
      <c r="E16" s="26">
        <f>IFERROR(C16/D16,0)</f>
        <v/>
      </c>
      <c r="F16" s="25" t="n">
        <v>45</v>
      </c>
      <c r="G16" s="25" t="n">
        <v>45</v>
      </c>
    </row>
    <row r="17">
      <c r="B17" s="24" t="inlineStr">
        <is>
          <t>06 🐉 Capstone + Docker + CI/CD</t>
        </is>
      </c>
      <c r="C17" s="25">
        <f>COUNTIFS('STUDY TRACKER'!$A$4:$A$151,$B17,'STUDY TRACKER'!$H$4:$H$151,"Done")</f>
        <v/>
      </c>
      <c r="D17" s="25">
        <f>COUNTIF('STUDY TRACKER'!$A$4:$A$151,$B17)</f>
        <v/>
      </c>
      <c r="E17" s="26">
        <f>IFERROR(C17/D17,0)</f>
        <v/>
      </c>
      <c r="F17" s="25" t="n">
        <v>70</v>
      </c>
      <c r="G17" s="25" t="n">
        <v>70</v>
      </c>
    </row>
    <row r="18">
      <c r="B18" s="24" t="inlineStr">
        <is>
          <t>07 🗡️ DSA &amp; Problem Solving</t>
        </is>
      </c>
      <c r="C18" s="25">
        <f>COUNTIFS('STUDY TRACKER'!$A$4:$A$151,$B18,'STUDY TRACKER'!$H$4:$H$151,"Done")</f>
        <v/>
      </c>
      <c r="D18" s="25">
        <f>COUNTIF('STUDY TRACKER'!$A$4:$A$151,$B18)</f>
        <v/>
      </c>
      <c r="E18" s="26">
        <f>IFERROR(C18/D18,0)</f>
        <v/>
      </c>
      <c r="F18" s="25" t="n">
        <v>40</v>
      </c>
      <c r="G18" s="25" t="n">
        <v>40</v>
      </c>
    </row>
    <row r="19">
      <c r="B19" s="24" t="inlineStr">
        <is>
          <t>08 📊 Power BI + Analytics</t>
        </is>
      </c>
      <c r="C19" s="25">
        <f>COUNTIFS('STUDY TRACKER'!$A$4:$A$151,$B19,'STUDY TRACKER'!$H$4:$H$151,"Done")</f>
        <v/>
      </c>
      <c r="D19" s="25">
        <f>COUNTIF('STUDY TRACKER'!$A$4:$A$151,$B19)</f>
        <v/>
      </c>
      <c r="E19" s="26">
        <f>IFERROR(C19/D19,0)</f>
        <v/>
      </c>
      <c r="F19" s="25" t="n">
        <v>30</v>
      </c>
      <c r="G19" s="25" t="n">
        <v>30</v>
      </c>
    </row>
    <row r="20">
      <c r="B20" s="24" t="inlineStr">
        <is>
          <t>09 🏁 Portfolio, Resume &amp; Offers</t>
        </is>
      </c>
      <c r="C20" s="25">
        <f>COUNTIFS('STUDY TRACKER'!$A$4:$A$151,$B20,'STUDY TRACKER'!$H$4:$H$151,"Done")</f>
        <v/>
      </c>
      <c r="D20" s="25">
        <f>COUNTIF('STUDY TRACKER'!$A$4:$A$151,$B20)</f>
        <v/>
      </c>
      <c r="E20" s="26">
        <f>IFERROR(C20/D20,0)</f>
        <v/>
      </c>
      <c r="F20" s="25" t="n">
        <v>100</v>
      </c>
      <c r="G20" s="25" t="n">
        <v>100</v>
      </c>
    </row>
    <row r="21">
      <c r="B21" s="27" t="inlineStr">
        <is>
          <t>TOTAL</t>
        </is>
      </c>
      <c r="C21" s="28">
        <f>SUM(C12:C20)</f>
        <v/>
      </c>
      <c r="D21" s="28">
        <f>SUM(D12:D20)</f>
        <v/>
      </c>
      <c r="E21" s="29">
        <f>IFERROR(C21/D21,0)</f>
        <v/>
      </c>
      <c r="F21" s="28">
        <f>SUM(F12:F20)</f>
        <v/>
      </c>
      <c r="G21" s="28">
        <f>SUM(G12:G20)</f>
        <v/>
      </c>
    </row>
    <row r="23">
      <c r="B23" s="30" t="inlineStr">
        <is>
          <t>* Column G starts as planned hours — overwrite it with your real logged hours per season.</t>
        </is>
      </c>
    </row>
    <row r="25">
      <c r="B25" s="31" t="inlineStr">
        <is>
          <t>THE GOAL</t>
        </is>
      </c>
    </row>
    <row r="26">
      <c r="B26" s="7" t="inlineStr">
        <is>
          <t>☐  Portfolio live</t>
        </is>
      </c>
      <c r="C26" s="32" t="inlineStr">
        <is>
          <t>Day 7</t>
        </is>
      </c>
    </row>
    <row r="27">
      <c r="B27" s="7" t="inlineStr">
        <is>
          <t>☐  3 JavaScript projects deployed</t>
        </is>
      </c>
      <c r="C27" s="32" t="inlineStr">
        <is>
          <t>Day 30</t>
        </is>
      </c>
    </row>
    <row r="28">
      <c r="B28" s="7" t="inlineStr">
        <is>
          <t>☐  React + TypeScript project live</t>
        </is>
      </c>
      <c r="C28" s="32" t="inlineStr">
        <is>
          <t>Day 60</t>
        </is>
      </c>
    </row>
    <row r="29">
      <c r="B29" s="7" t="inlineStr">
        <is>
          <t>☐  Authenticated REST API deployed</t>
        </is>
      </c>
      <c r="C29" s="32" t="inlineStr">
        <is>
          <t>Day 90</t>
        </is>
      </c>
    </row>
    <row r="30">
      <c r="B30" s="7" t="inlineStr">
        <is>
          <t>☐  Capstone shipped with Docker + CI</t>
        </is>
      </c>
      <c r="C30" s="32" t="inlineStr">
        <is>
          <t>Day 120</t>
        </is>
      </c>
    </row>
    <row r="31">
      <c r="B31" s="7" t="inlineStr">
        <is>
          <t>☐  100+ applications + 10 referrals</t>
        </is>
      </c>
      <c r="C31" s="32" t="inlineStr">
        <is>
          <t>Day 180</t>
        </is>
      </c>
    </row>
    <row r="32">
      <c r="B32" s="7" t="inlineStr">
        <is>
          <t>☐  Offer signed</t>
        </is>
      </c>
      <c r="C32" s="32" t="inlineStr">
        <is>
          <t>Day 210–240</t>
        </is>
      </c>
    </row>
  </sheetData>
  <mergeCells count="18">
    <mergeCell ref="F3:G3"/>
    <mergeCell ref="F4:G4"/>
    <mergeCell ref="B8:C8"/>
    <mergeCell ref="D8:E8"/>
    <mergeCell ref="H8:I8"/>
    <mergeCell ref="D7:E7"/>
    <mergeCell ref="B7:C7"/>
    <mergeCell ref="B3:C3"/>
    <mergeCell ref="H7:I7"/>
    <mergeCell ref="A2:H2"/>
    <mergeCell ref="D4:E4"/>
    <mergeCell ref="F8:G8"/>
    <mergeCell ref="H4:I4"/>
    <mergeCell ref="A1:H1"/>
    <mergeCell ref="D3:E3"/>
    <mergeCell ref="B4:C4"/>
    <mergeCell ref="F7:G7"/>
    <mergeCell ref="H3:I3"/>
  </mergeCell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C5CFF"/>
    <outlinePr summaryBelow="1" summaryRight="1"/>
    <pageSetUpPr fitToPage="1"/>
  </sheetPr>
  <dimension ref="A1:K151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" customWidth="1" min="2" max="2"/>
    <col width="62" customWidth="1" min="3" max="3"/>
    <col width="34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3" customWidth="1" min="10" max="10"/>
    <col width="40" customWidth="1" min="11" max="11"/>
  </cols>
  <sheetData>
    <row r="1" ht="34" customHeight="1">
      <c r="A1" s="1" t="inlineStr">
        <is>
          <t>STUDY TRACKER</t>
        </is>
      </c>
    </row>
    <row r="2" ht="30" customHeight="1">
      <c r="A2" s="2" t="inlineStr">
        <is>
          <t>One row per checkpoint. Status drives the dashboard. Planned hrs is a guide — log real hours in WEEKLY LOG.</t>
        </is>
      </c>
    </row>
    <row r="3" ht="28" customHeight="1">
      <c r="A3" s="23" t="inlineStr">
        <is>
          <t>Season</t>
        </is>
      </c>
      <c r="B3" s="23" t="inlineStr">
        <is>
          <t>#</t>
        </is>
      </c>
      <c r="C3" s="23" t="inlineStr">
        <is>
          <t>Topic / checkpoint</t>
        </is>
      </c>
      <c r="D3" s="23" t="inlineStr">
        <is>
          <t>Main resource (see RESOURCES tab)</t>
        </is>
      </c>
      <c r="E3" s="23" t="inlineStr">
        <is>
          <t>Planned hrs</t>
        </is>
      </c>
      <c r="F3" s="23" t="inlineStr">
        <is>
          <t>Start date</t>
        </is>
      </c>
      <c r="G3" s="23" t="inlineStr">
        <is>
          <t>Done date</t>
        </is>
      </c>
      <c r="H3" s="23" t="inlineStr">
        <is>
          <t>Status</t>
        </is>
      </c>
      <c r="I3" s="23" t="inlineStr">
        <is>
          <t>Confidence 1–5</t>
        </is>
      </c>
      <c r="J3" s="23" t="inlineStr">
        <is>
          <t>Revision date</t>
        </is>
      </c>
      <c r="K3" s="23" t="inlineStr">
        <is>
          <t>Notes / questions</t>
        </is>
      </c>
    </row>
    <row r="4">
      <c r="A4" s="33" t="inlineStr">
        <is>
          <t>01 🎮 Setup, Git &amp; HTML/CSS Pro</t>
        </is>
      </c>
      <c r="B4" s="34" t="n">
        <v>1</v>
      </c>
      <c r="C4" s="33" t="inlineStr">
        <is>
          <t>Install VS Code + Prettier, ESLint, Live Server, GitLens, Error Lens</t>
        </is>
      </c>
      <c r="D4" s="33" t="inlineStr">
        <is>
          <t>Kunal Kushwaha — Complete Git and GitHub Tutorial</t>
        </is>
      </c>
      <c r="E4" s="35" t="n">
        <v>1.5</v>
      </c>
      <c r="F4" s="36" t="n"/>
      <c r="G4" s="36" t="n"/>
      <c r="H4" s="33" t="inlineStr">
        <is>
          <t>Not started</t>
        </is>
      </c>
      <c r="I4" s="34" t="n">
        <v>0</v>
      </c>
      <c r="J4" s="36" t="n"/>
      <c r="K4" s="33" t="n"/>
    </row>
    <row r="5">
      <c r="A5" s="33" t="inlineStr">
        <is>
          <t>01 🎮 Setup, Git &amp; HTML/CSS Pro</t>
        </is>
      </c>
      <c r="B5" s="34" t="n">
        <v>2</v>
      </c>
      <c r="C5" s="33" t="inlineStr">
        <is>
          <t>Install Node.js LTS · verify `node -v` and `npm -v`</t>
        </is>
      </c>
      <c r="D5" s="33" t="n"/>
      <c r="E5" s="35" t="n">
        <v>1.5</v>
      </c>
      <c r="F5" s="36" t="n"/>
      <c r="G5" s="36" t="n"/>
      <c r="H5" s="33" t="inlineStr">
        <is>
          <t>Not started</t>
        </is>
      </c>
      <c r="I5" s="34" t="n">
        <v>0</v>
      </c>
      <c r="J5" s="36" t="n"/>
      <c r="K5" s="33" t="n"/>
    </row>
    <row r="6">
      <c r="A6" s="33" t="inlineStr">
        <is>
          <t>01 🎮 Setup, Git &amp; HTML/CSS Pro</t>
        </is>
      </c>
      <c r="B6" s="34" t="n">
        <v>3</v>
      </c>
      <c r="C6" s="33" t="inlineStr">
        <is>
          <t>Set Git user.name / user.email + add SSH key to GitHub</t>
        </is>
      </c>
      <c r="D6" s="33" t="n"/>
      <c r="E6" s="35" t="n">
        <v>1.5</v>
      </c>
      <c r="F6" s="36" t="n"/>
      <c r="G6" s="36" t="n"/>
      <c r="H6" s="33" t="inlineStr">
        <is>
          <t>Not started</t>
        </is>
      </c>
      <c r="I6" s="34" t="n">
        <v>0</v>
      </c>
      <c r="J6" s="36" t="n"/>
      <c r="K6" s="33" t="n"/>
    </row>
    <row r="7">
      <c r="A7" s="33" t="inlineStr">
        <is>
          <t>01 🎮 Setup, Git &amp; HTML/CSS Pro</t>
        </is>
      </c>
      <c r="B7" s="34" t="n">
        <v>4</v>
      </c>
      <c r="C7" s="33" t="inlineStr">
        <is>
          <t>Create GitHub profile README + repo `learning-log`</t>
        </is>
      </c>
      <c r="D7" s="33" t="n"/>
      <c r="E7" s="35" t="n">
        <v>1.5</v>
      </c>
      <c r="F7" s="36" t="n"/>
      <c r="G7" s="36" t="n"/>
      <c r="H7" s="33" t="inlineStr">
        <is>
          <t>Not started</t>
        </is>
      </c>
      <c r="I7" s="34" t="n">
        <v>0</v>
      </c>
      <c r="J7" s="36" t="n"/>
      <c r="K7" s="33" t="n"/>
    </row>
    <row r="8">
      <c r="A8" s="33" t="inlineStr">
        <is>
          <t>01 🎮 Setup, Git &amp; HTML/CSS Pro</t>
        </is>
      </c>
      <c r="B8" s="34" t="n">
        <v>5</v>
      </c>
      <c r="C8" s="33" t="inlineStr">
        <is>
          <t>Master the 15 daily Git commands (add, commit, branch, merge, push, pull, stash)</t>
        </is>
      </c>
      <c r="D8" s="33" t="n"/>
      <c r="E8" s="35" t="n">
        <v>1.5</v>
      </c>
      <c r="F8" s="36" t="n"/>
      <c r="G8" s="36" t="n"/>
      <c r="H8" s="33" t="inlineStr">
        <is>
          <t>Not started</t>
        </is>
      </c>
      <c r="I8" s="34" t="n">
        <v>0</v>
      </c>
      <c r="J8" s="36" t="n"/>
      <c r="K8" s="33" t="n"/>
    </row>
    <row r="9">
      <c r="A9" s="33" t="inlineStr">
        <is>
          <t>01 🎮 Setup, Git &amp; HTML/CSS Pro</t>
        </is>
      </c>
      <c r="B9" s="34" t="n">
        <v>6</v>
      </c>
      <c r="C9" s="33" t="inlineStr">
        <is>
          <t>Open your first pull request (fix a typo in any open-source README)</t>
        </is>
      </c>
      <c r="D9" s="33" t="n"/>
      <c r="E9" s="35" t="n">
        <v>1.5</v>
      </c>
      <c r="F9" s="36" t="n"/>
      <c r="G9" s="36" t="n"/>
      <c r="H9" s="33" t="inlineStr">
        <is>
          <t>Not started</t>
        </is>
      </c>
      <c r="I9" s="34" t="n">
        <v>0</v>
      </c>
      <c r="J9" s="36" t="n"/>
      <c r="K9" s="33" t="n"/>
    </row>
    <row r="10">
      <c r="A10" s="33" t="inlineStr">
        <is>
          <t>01 🎮 Setup, Git &amp; HTML/CSS Pro</t>
        </is>
      </c>
      <c r="B10" s="34" t="n">
        <v>7</v>
      </c>
      <c r="C10" s="33" t="inlineStr">
        <is>
          <t>Semantic HTML: header / nav / main / section / article / footer + forms</t>
        </is>
      </c>
      <c r="D10" s="33" t="n"/>
      <c r="E10" s="35" t="n">
        <v>1.5</v>
      </c>
      <c r="F10" s="36" t="n"/>
      <c r="G10" s="36" t="n"/>
      <c r="H10" s="33" t="inlineStr">
        <is>
          <t>Not started</t>
        </is>
      </c>
      <c r="I10" s="34" t="n">
        <v>0</v>
      </c>
      <c r="J10" s="36" t="n"/>
      <c r="K10" s="33" t="n"/>
    </row>
    <row r="11">
      <c r="A11" s="33" t="inlineStr">
        <is>
          <t>01 🎮 Setup, Git &amp; HTML/CSS Pro</t>
        </is>
      </c>
      <c r="B11" s="34" t="n">
        <v>8</v>
      </c>
      <c r="C11" s="33" t="inlineStr">
        <is>
          <t>CSS box model, specificity, cascade, rem/em/clamp()</t>
        </is>
      </c>
      <c r="D11" s="33" t="n"/>
      <c r="E11" s="35" t="n">
        <v>1.5</v>
      </c>
      <c r="F11" s="36" t="n"/>
      <c r="G11" s="36" t="n"/>
      <c r="H11" s="33" t="inlineStr">
        <is>
          <t>Not started</t>
        </is>
      </c>
      <c r="I11" s="34" t="n">
        <v>0</v>
      </c>
      <c r="J11" s="36" t="n"/>
      <c r="K11" s="33" t="n"/>
    </row>
    <row r="12">
      <c r="A12" s="33" t="inlineStr">
        <is>
          <t>01 🎮 Setup, Git &amp; HTML/CSS Pro</t>
        </is>
      </c>
      <c r="B12" s="34" t="n">
        <v>9</v>
      </c>
      <c r="C12" s="33" t="inlineStr">
        <is>
          <t>Flexbox: justify-content, align-items, gap, wrap</t>
        </is>
      </c>
      <c r="D12" s="33" t="n"/>
      <c r="E12" s="35" t="n">
        <v>1.5</v>
      </c>
      <c r="F12" s="36" t="n"/>
      <c r="G12" s="36" t="n"/>
      <c r="H12" s="33" t="inlineStr">
        <is>
          <t>Not started</t>
        </is>
      </c>
      <c r="I12" s="34" t="n">
        <v>0</v>
      </c>
      <c r="J12" s="36" t="n"/>
      <c r="K12" s="33" t="n"/>
    </row>
    <row r="13">
      <c r="A13" s="33" t="inlineStr">
        <is>
          <t>01 🎮 Setup, Git &amp; HTML/CSS Pro</t>
        </is>
      </c>
      <c r="B13" s="34" t="n">
        <v>10</v>
      </c>
      <c r="C13" s="33" t="inlineStr">
        <is>
          <t>CSS Grid: auto-fit + minmax, grid-template-areas</t>
        </is>
      </c>
      <c r="D13" s="33" t="n"/>
      <c r="E13" s="35" t="n">
        <v>1.5</v>
      </c>
      <c r="F13" s="36" t="n"/>
      <c r="G13" s="36" t="n"/>
      <c r="H13" s="33" t="inlineStr">
        <is>
          <t>Not started</t>
        </is>
      </c>
      <c r="I13" s="34" t="n">
        <v>0</v>
      </c>
      <c r="J13" s="36" t="n"/>
      <c r="K13" s="33" t="n"/>
    </row>
    <row r="14">
      <c r="A14" s="33" t="inlineStr">
        <is>
          <t>01 🎮 Setup, Git &amp; HTML/CSS Pro</t>
        </is>
      </c>
      <c r="B14" s="34" t="n">
        <v>11</v>
      </c>
      <c r="C14" s="33" t="inlineStr">
        <is>
          <t>Mobile-first media queries + fluid typography</t>
        </is>
      </c>
      <c r="D14" s="33" t="n"/>
      <c r="E14" s="35" t="n">
        <v>1.5</v>
      </c>
      <c r="F14" s="36" t="n"/>
      <c r="G14" s="36" t="n"/>
      <c r="H14" s="33" t="inlineStr">
        <is>
          <t>Not started</t>
        </is>
      </c>
      <c r="I14" s="34" t="n">
        <v>0</v>
      </c>
      <c r="J14" s="36" t="n"/>
      <c r="K14" s="33" t="n"/>
    </row>
    <row r="15">
      <c r="A15" s="33" t="inlineStr">
        <is>
          <t>01 🎮 Setup, Git &amp; HTML/CSS Pro</t>
        </is>
      </c>
      <c r="B15" s="34" t="n">
        <v>12</v>
      </c>
      <c r="C15" s="33" t="inlineStr">
        <is>
          <t>CSS variables, transitions, hover &amp; focus states</t>
        </is>
      </c>
      <c r="D15" s="33" t="n"/>
      <c r="E15" s="35" t="n">
        <v>1.5</v>
      </c>
      <c r="F15" s="36" t="n"/>
      <c r="G15" s="36" t="n"/>
      <c r="H15" s="33" t="inlineStr">
        <is>
          <t>Not started</t>
        </is>
      </c>
      <c r="I15" s="34" t="n">
        <v>0</v>
      </c>
      <c r="J15" s="36" t="n"/>
      <c r="K15" s="33" t="n"/>
    </row>
    <row r="16">
      <c r="A16" s="33" t="inlineStr">
        <is>
          <t>01 🎮 Setup, Git &amp; HTML/CSS Pro</t>
        </is>
      </c>
      <c r="B16" s="34" t="n">
        <v>13</v>
      </c>
      <c r="C16" s="33" t="inlineStr">
        <is>
          <t>Accessibility: alt text, contrast, keyboard nav, focus rings</t>
        </is>
      </c>
      <c r="D16" s="33" t="n"/>
      <c r="E16" s="35" t="n">
        <v>1.5</v>
      </c>
      <c r="F16" s="36" t="n"/>
      <c r="G16" s="36" t="n"/>
      <c r="H16" s="33" t="inlineStr">
        <is>
          <t>Not started</t>
        </is>
      </c>
      <c r="I16" s="34" t="n">
        <v>0</v>
      </c>
      <c r="J16" s="36" t="n"/>
      <c r="K16" s="33" t="n"/>
    </row>
    <row r="17">
      <c r="A17" s="33" t="inlineStr">
        <is>
          <t>01 🎮 Setup, Git &amp; HTML/CSS Pro</t>
        </is>
      </c>
      <c r="B17" s="34" t="n">
        <v>14</v>
      </c>
      <c r="C17" s="33" t="inlineStr">
        <is>
          <t>Chrome DevTools: inspect, device toolbar, console, network</t>
        </is>
      </c>
      <c r="D17" s="33" t="n"/>
      <c r="E17" s="35" t="n">
        <v>1.5</v>
      </c>
      <c r="F17" s="36" t="n"/>
      <c r="G17" s="36" t="n"/>
      <c r="H17" s="33" t="inlineStr">
        <is>
          <t>Not started</t>
        </is>
      </c>
      <c r="I17" s="34" t="n">
        <v>0</v>
      </c>
      <c r="J17" s="36" t="n"/>
      <c r="K17" s="33" t="n"/>
    </row>
    <row r="18">
      <c r="A18" s="33" t="inlineStr">
        <is>
          <t>01 🎮 Setup, Git &amp; HTML/CSS Pro</t>
        </is>
      </c>
      <c r="B18" s="34" t="n">
        <v>15</v>
      </c>
      <c r="C18" s="33" t="inlineStr">
        <is>
          <t>Build + deploy a 3-page portfolio to Netlify or Vercel</t>
        </is>
      </c>
      <c r="D18" s="33" t="n"/>
      <c r="E18" s="35" t="n">
        <v>1.5</v>
      </c>
      <c r="F18" s="36" t="n"/>
      <c r="G18" s="36" t="n"/>
      <c r="H18" s="33" t="inlineStr">
        <is>
          <t>Not started</t>
        </is>
      </c>
      <c r="I18" s="34" t="n">
        <v>0</v>
      </c>
      <c r="J18" s="36" t="n"/>
      <c r="K18" s="33" t="n"/>
    </row>
    <row r="19">
      <c r="A19" s="33" t="inlineStr">
        <is>
          <t>01 🎮 Setup, Git &amp; HTML/CSS Pro</t>
        </is>
      </c>
      <c r="B19" s="34" t="n">
        <v>16</v>
      </c>
      <c r="C19" s="33" t="inlineStr">
        <is>
          <t>Write a README with screenshots and the live link</t>
        </is>
      </c>
      <c r="D19" s="33" t="n"/>
      <c r="E19" s="35" t="n">
        <v>1.5</v>
      </c>
      <c r="F19" s="36" t="n"/>
      <c r="G19" s="36" t="n"/>
      <c r="H19" s="33" t="inlineStr">
        <is>
          <t>Not started</t>
        </is>
      </c>
      <c r="I19" s="34" t="n">
        <v>0</v>
      </c>
      <c r="J19" s="36" t="n"/>
      <c r="K19" s="33" t="n"/>
    </row>
    <row r="20">
      <c r="A20" s="37" t="inlineStr">
        <is>
          <t>02 ⚡ JavaScript Deep Dive</t>
        </is>
      </c>
      <c r="B20" s="38" t="n">
        <v>1</v>
      </c>
      <c r="C20" s="37" t="inlineStr">
        <is>
          <t>let / const / var, scope, temporal dead zone, hoisting</t>
        </is>
      </c>
      <c r="D20" s="37" t="inlineStr">
        <is>
          <t>SuperSimpleDev — JavaScript Tutorial Full Course – Beginner to Pro (2024)</t>
        </is>
      </c>
      <c r="E20" s="39" t="n">
        <v>3.9</v>
      </c>
      <c r="F20" s="40" t="n"/>
      <c r="G20" s="40" t="n"/>
      <c r="H20" s="37" t="inlineStr">
        <is>
          <t>Not started</t>
        </is>
      </c>
      <c r="I20" s="38" t="n">
        <v>0</v>
      </c>
      <c r="J20" s="40" t="n"/>
      <c r="K20" s="37" t="n"/>
    </row>
    <row r="21">
      <c r="A21" s="37" t="inlineStr">
        <is>
          <t>02 ⚡ JavaScript Deep Dive</t>
        </is>
      </c>
      <c r="B21" s="38" t="n">
        <v>2</v>
      </c>
      <c r="C21" s="37" t="inlineStr">
        <is>
          <t>Functions, arrow functions, callbacks, pure functions</t>
        </is>
      </c>
      <c r="D21" s="37" t="n"/>
      <c r="E21" s="39" t="n">
        <v>3.9</v>
      </c>
      <c r="F21" s="40" t="n"/>
      <c r="G21" s="40" t="n"/>
      <c r="H21" s="37" t="inlineStr">
        <is>
          <t>Not started</t>
        </is>
      </c>
      <c r="I21" s="38" t="n">
        <v>0</v>
      </c>
      <c r="J21" s="40" t="n"/>
      <c r="K21" s="37" t="n"/>
    </row>
    <row r="22">
      <c r="A22" s="37" t="inlineStr">
        <is>
          <t>02 ⚡ JavaScript Deep Dive</t>
        </is>
      </c>
      <c r="B22" s="38" t="n">
        <v>3</v>
      </c>
      <c r="C22" s="37" t="inlineStr">
        <is>
          <t>Arrays: map, filter, reduce, find, some, every, sort</t>
        </is>
      </c>
      <c r="D22" s="37" t="n"/>
      <c r="E22" s="39" t="n">
        <v>3.9</v>
      </c>
      <c r="F22" s="40" t="n"/>
      <c r="G22" s="40" t="n"/>
      <c r="H22" s="37" t="inlineStr">
        <is>
          <t>Not started</t>
        </is>
      </c>
      <c r="I22" s="38" t="n">
        <v>0</v>
      </c>
      <c r="J22" s="40" t="n"/>
      <c r="K22" s="37" t="n"/>
    </row>
    <row r="23">
      <c r="A23" s="37" t="inlineStr">
        <is>
          <t>02 ⚡ JavaScript Deep Dive</t>
        </is>
      </c>
      <c r="B23" s="38" t="n">
        <v>4</v>
      </c>
      <c r="C23" s="37" t="inlineStr">
        <is>
          <t>Objects, destructuring, spread/rest, optional chaining</t>
        </is>
      </c>
      <c r="D23" s="37" t="n"/>
      <c r="E23" s="39" t="n">
        <v>3.9</v>
      </c>
      <c r="F23" s="40" t="n"/>
      <c r="G23" s="40" t="n"/>
      <c r="H23" s="37" t="inlineStr">
        <is>
          <t>Not started</t>
        </is>
      </c>
      <c r="I23" s="38" t="n">
        <v>0</v>
      </c>
      <c r="J23" s="40" t="n"/>
      <c r="K23" s="37" t="n"/>
    </row>
    <row r="24">
      <c r="A24" s="37" t="inlineStr">
        <is>
          <t>02 ⚡ JavaScript Deep Dive</t>
        </is>
      </c>
      <c r="B24" s="38" t="n">
        <v>5</v>
      </c>
      <c r="C24" s="37" t="inlineStr">
        <is>
          <t>DOM: querySelector, createElement, classList, events</t>
        </is>
      </c>
      <c r="D24" s="37" t="n"/>
      <c r="E24" s="39" t="n">
        <v>3.9</v>
      </c>
      <c r="F24" s="40" t="n"/>
      <c r="G24" s="40" t="n"/>
      <c r="H24" s="37" t="inlineStr">
        <is>
          <t>Not started</t>
        </is>
      </c>
      <c r="I24" s="38" t="n">
        <v>0</v>
      </c>
      <c r="J24" s="40" t="n"/>
      <c r="K24" s="37" t="n"/>
    </row>
    <row r="25">
      <c r="A25" s="37" t="inlineStr">
        <is>
          <t>02 ⚡ JavaScript Deep Dive</t>
        </is>
      </c>
      <c r="B25" s="38" t="n">
        <v>6</v>
      </c>
      <c r="C25" s="37" t="inlineStr">
        <is>
          <t>Event delegation + forms + preventDefault + validation</t>
        </is>
      </c>
      <c r="D25" s="37" t="n"/>
      <c r="E25" s="39" t="n">
        <v>3.9</v>
      </c>
      <c r="F25" s="40" t="n"/>
      <c r="G25" s="40" t="n"/>
      <c r="H25" s="37" t="inlineStr">
        <is>
          <t>Not started</t>
        </is>
      </c>
      <c r="I25" s="38" t="n">
        <v>0</v>
      </c>
      <c r="J25" s="40" t="n"/>
      <c r="K25" s="37" t="n"/>
    </row>
    <row r="26">
      <c r="A26" s="37" t="inlineStr">
        <is>
          <t>02 ⚡ JavaScript Deep Dive</t>
        </is>
      </c>
      <c r="B26" s="38" t="n">
        <v>7</v>
      </c>
      <c r="C26" s="37" t="inlineStr">
        <is>
          <t>ES modules (import / export)</t>
        </is>
      </c>
      <c r="D26" s="37" t="n"/>
      <c r="E26" s="39" t="n">
        <v>3.9</v>
      </c>
      <c r="F26" s="40" t="n"/>
      <c r="G26" s="40" t="n"/>
      <c r="H26" s="37" t="inlineStr">
        <is>
          <t>Not started</t>
        </is>
      </c>
      <c r="I26" s="38" t="n">
        <v>0</v>
      </c>
      <c r="J26" s="40" t="n"/>
      <c r="K26" s="37" t="n"/>
    </row>
    <row r="27">
      <c r="A27" s="37" t="inlineStr">
        <is>
          <t>02 ⚡ JavaScript Deep Dive</t>
        </is>
      </c>
      <c r="B27" s="38" t="n">
        <v>8</v>
      </c>
      <c r="C27" s="37" t="inlineStr">
        <is>
          <t>Promises: then / catch / finally</t>
        </is>
      </c>
      <c r="D27" s="37" t="n"/>
      <c r="E27" s="39" t="n">
        <v>3.9</v>
      </c>
      <c r="F27" s="40" t="n"/>
      <c r="G27" s="40" t="n"/>
      <c r="H27" s="37" t="inlineStr">
        <is>
          <t>Not started</t>
        </is>
      </c>
      <c r="I27" s="38" t="n">
        <v>0</v>
      </c>
      <c r="J27" s="40" t="n"/>
      <c r="K27" s="37" t="n"/>
    </row>
    <row r="28">
      <c r="A28" s="37" t="inlineStr">
        <is>
          <t>02 ⚡ JavaScript Deep Dive</t>
        </is>
      </c>
      <c r="B28" s="38" t="n">
        <v>9</v>
      </c>
      <c r="C28" s="37" t="inlineStr">
        <is>
          <t>async / await + try / catch + error handling</t>
        </is>
      </c>
      <c r="D28" s="37" t="n"/>
      <c r="E28" s="39" t="n">
        <v>3.9</v>
      </c>
      <c r="F28" s="40" t="n"/>
      <c r="G28" s="40" t="n"/>
      <c r="H28" s="37" t="inlineStr">
        <is>
          <t>Not started</t>
        </is>
      </c>
      <c r="I28" s="38" t="n">
        <v>0</v>
      </c>
      <c r="J28" s="40" t="n"/>
      <c r="K28" s="37" t="n"/>
    </row>
    <row r="29">
      <c r="A29" s="37" t="inlineStr">
        <is>
          <t>02 ⚡ JavaScript Deep Dive</t>
        </is>
      </c>
      <c r="B29" s="38" t="n">
        <v>10</v>
      </c>
      <c r="C29" s="37" t="inlineStr">
        <is>
          <t>fetch + REST + JSON + loading &amp; error states</t>
        </is>
      </c>
      <c r="D29" s="37" t="n"/>
      <c r="E29" s="39" t="n">
        <v>3.9</v>
      </c>
      <c r="F29" s="40" t="n"/>
      <c r="G29" s="40" t="n"/>
      <c r="H29" s="37" t="inlineStr">
        <is>
          <t>Not started</t>
        </is>
      </c>
      <c r="I29" s="38" t="n">
        <v>0</v>
      </c>
      <c r="J29" s="40" t="n"/>
      <c r="K29" s="37" t="n"/>
    </row>
    <row r="30">
      <c r="A30" s="37" t="inlineStr">
        <is>
          <t>02 ⚡ JavaScript Deep Dive</t>
        </is>
      </c>
      <c r="B30" s="38" t="n">
        <v>11</v>
      </c>
      <c r="C30" s="37" t="inlineStr">
        <is>
          <t>localStorage / sessionStorage</t>
        </is>
      </c>
      <c r="D30" s="37" t="n"/>
      <c r="E30" s="39" t="n">
        <v>3.9</v>
      </c>
      <c r="F30" s="40" t="n"/>
      <c r="G30" s="40" t="n"/>
      <c r="H30" s="37" t="inlineStr">
        <is>
          <t>Not started</t>
        </is>
      </c>
      <c r="I30" s="38" t="n">
        <v>0</v>
      </c>
      <c r="J30" s="40" t="n"/>
      <c r="K30" s="37" t="n"/>
    </row>
    <row r="31">
      <c r="A31" s="37" t="inlineStr">
        <is>
          <t>02 ⚡ JavaScript Deep Dive</t>
        </is>
      </c>
      <c r="B31" s="38" t="n">
        <v>12</v>
      </c>
      <c r="C31" s="37" t="inlineStr">
        <is>
          <t>Closures, `this`, call / apply / bind</t>
        </is>
      </c>
      <c r="D31" s="37" t="n"/>
      <c r="E31" s="39" t="n">
        <v>3.9</v>
      </c>
      <c r="F31" s="40" t="n"/>
      <c r="G31" s="40" t="n"/>
      <c r="H31" s="37" t="inlineStr">
        <is>
          <t>Not started</t>
        </is>
      </c>
      <c r="I31" s="38" t="n">
        <v>0</v>
      </c>
      <c r="J31" s="40" t="n"/>
      <c r="K31" s="37" t="n"/>
    </row>
    <row r="32">
      <c r="A32" s="37" t="inlineStr">
        <is>
          <t>02 ⚡ JavaScript Deep Dive</t>
        </is>
      </c>
      <c r="B32" s="38" t="n">
        <v>13</v>
      </c>
      <c r="C32" s="37" t="inlineStr">
        <is>
          <t>Event loop, call stack, microtasks vs macrotasks</t>
        </is>
      </c>
      <c r="D32" s="37" t="n"/>
      <c r="E32" s="39" t="n">
        <v>3.9</v>
      </c>
      <c r="F32" s="40" t="n"/>
      <c r="G32" s="40" t="n"/>
      <c r="H32" s="37" t="inlineStr">
        <is>
          <t>Not started</t>
        </is>
      </c>
      <c r="I32" s="38" t="n">
        <v>0</v>
      </c>
      <c r="J32" s="40" t="n"/>
      <c r="K32" s="37" t="n"/>
    </row>
    <row r="33">
      <c r="A33" s="37" t="inlineStr">
        <is>
          <t>02 ⚡ JavaScript Deep Dive</t>
        </is>
      </c>
      <c r="B33" s="38" t="n">
        <v>14</v>
      </c>
      <c r="C33" s="37" t="inlineStr">
        <is>
          <t>Debounce &amp; throttle (write both from scratch)</t>
        </is>
      </c>
      <c r="D33" s="37" t="n"/>
      <c r="E33" s="39" t="n">
        <v>3.9</v>
      </c>
      <c r="F33" s="40" t="n"/>
      <c r="G33" s="40" t="n"/>
      <c r="H33" s="37" t="inlineStr">
        <is>
          <t>Not started</t>
        </is>
      </c>
      <c r="I33" s="38" t="n">
        <v>0</v>
      </c>
      <c r="J33" s="40" t="n"/>
      <c r="K33" s="37" t="n"/>
    </row>
    <row r="34">
      <c r="A34" s="37" t="inlineStr">
        <is>
          <t>02 ⚡ JavaScript Deep Dive</t>
        </is>
      </c>
      <c r="B34" s="38" t="n">
        <v>15</v>
      </c>
      <c r="C34" s="37" t="inlineStr">
        <is>
          <t>Build Todo app with persistence</t>
        </is>
      </c>
      <c r="D34" s="37" t="n"/>
      <c r="E34" s="39" t="n">
        <v>3.9</v>
      </c>
      <c r="F34" s="40" t="n"/>
      <c r="G34" s="40" t="n"/>
      <c r="H34" s="37" t="inlineStr">
        <is>
          <t>Not started</t>
        </is>
      </c>
      <c r="I34" s="38" t="n">
        <v>0</v>
      </c>
      <c r="J34" s="40" t="n"/>
      <c r="K34" s="37" t="n"/>
    </row>
    <row r="35">
      <c r="A35" s="37" t="inlineStr">
        <is>
          <t>02 ⚡ JavaScript Deep Dive</t>
        </is>
      </c>
      <c r="B35" s="38" t="n">
        <v>16</v>
      </c>
      <c r="C35" s="37" t="inlineStr">
        <is>
          <t>Build Weather app with a free API (Open-Meteo needs no key)</t>
        </is>
      </c>
      <c r="D35" s="37" t="n"/>
      <c r="E35" s="39" t="n">
        <v>3.9</v>
      </c>
      <c r="F35" s="40" t="n"/>
      <c r="G35" s="40" t="n"/>
      <c r="H35" s="37" t="inlineStr">
        <is>
          <t>Not started</t>
        </is>
      </c>
      <c r="I35" s="38" t="n">
        <v>0</v>
      </c>
      <c r="J35" s="40" t="n"/>
      <c r="K35" s="37" t="n"/>
    </row>
    <row r="36">
      <c r="A36" s="37" t="inlineStr">
        <is>
          <t>02 ⚡ JavaScript Deep Dive</t>
        </is>
      </c>
      <c r="B36" s="38" t="n">
        <v>17</v>
      </c>
      <c r="C36" s="37" t="inlineStr">
        <is>
          <t>Build Quiz app with timer + score + high score</t>
        </is>
      </c>
      <c r="D36" s="37" t="n"/>
      <c r="E36" s="39" t="n">
        <v>3.9</v>
      </c>
      <c r="F36" s="40" t="n"/>
      <c r="G36" s="40" t="n"/>
      <c r="H36" s="37" t="inlineStr">
        <is>
          <t>Not started</t>
        </is>
      </c>
      <c r="I36" s="38" t="n">
        <v>0</v>
      </c>
      <c r="J36" s="40" t="n"/>
      <c r="K36" s="37" t="n"/>
    </row>
    <row r="37">
      <c r="A37" s="37" t="inlineStr">
        <is>
          <t>02 ⚡ JavaScript Deep Dive</t>
        </is>
      </c>
      <c r="B37" s="38" t="n">
        <v>18</v>
      </c>
      <c r="C37" s="37" t="inlineStr">
        <is>
          <t>Deploy all 3 + write READMEs with screenshots</t>
        </is>
      </c>
      <c r="D37" s="37" t="n"/>
      <c r="E37" s="39" t="n">
        <v>3.9</v>
      </c>
      <c r="F37" s="40" t="n"/>
      <c r="G37" s="40" t="n"/>
      <c r="H37" s="37" t="inlineStr">
        <is>
          <t>Not started</t>
        </is>
      </c>
      <c r="I37" s="38" t="n">
        <v>0</v>
      </c>
      <c r="J37" s="40" t="n"/>
      <c r="K37" s="37" t="n"/>
    </row>
    <row r="38">
      <c r="A38" s="41" t="inlineStr">
        <is>
          <t>03 🔥 React + TypeScript + Tailwind</t>
        </is>
      </c>
      <c r="B38" s="42" t="n">
        <v>1</v>
      </c>
      <c r="C38" s="41" t="inlineStr">
        <is>
          <t>Create a React app with Vite (`npm create vite@latest`)</t>
        </is>
      </c>
      <c r="D38" s="41" t="inlineStr">
        <is>
          <t>Hitesh Choudhary (chai aur code) — Chai aur React</t>
        </is>
      </c>
      <c r="E38" s="43" t="n">
        <v>5</v>
      </c>
      <c r="F38" s="44" t="n"/>
      <c r="G38" s="44" t="n"/>
      <c r="H38" s="41" t="inlineStr">
        <is>
          <t>Not started</t>
        </is>
      </c>
      <c r="I38" s="42" t="n">
        <v>0</v>
      </c>
      <c r="J38" s="44" t="n"/>
      <c r="K38" s="41" t="n"/>
    </row>
    <row r="39">
      <c r="A39" s="41" t="inlineStr">
        <is>
          <t>03 🔥 React + TypeScript + Tailwind</t>
        </is>
      </c>
      <c r="B39" s="42" t="n">
        <v>2</v>
      </c>
      <c r="C39" s="41" t="inlineStr">
        <is>
          <t>JSX rules + conditional rendering + fragments</t>
        </is>
      </c>
      <c r="D39" s="41" t="n"/>
      <c r="E39" s="43" t="n">
        <v>5</v>
      </c>
      <c r="F39" s="44" t="n"/>
      <c r="G39" s="44" t="n"/>
      <c r="H39" s="41" t="inlineStr">
        <is>
          <t>Not started</t>
        </is>
      </c>
      <c r="I39" s="42" t="n">
        <v>0</v>
      </c>
      <c r="J39" s="44" t="n"/>
      <c r="K39" s="41" t="n"/>
    </row>
    <row r="40">
      <c r="A40" s="41" t="inlineStr">
        <is>
          <t>03 🔥 React + TypeScript + Tailwind</t>
        </is>
      </c>
      <c r="B40" s="42" t="n">
        <v>3</v>
      </c>
      <c r="C40" s="41" t="inlineStr">
        <is>
          <t>Components, props, children, composition</t>
        </is>
      </c>
      <c r="D40" s="41" t="n"/>
      <c r="E40" s="43" t="n">
        <v>5</v>
      </c>
      <c r="F40" s="44" t="n"/>
      <c r="G40" s="44" t="n"/>
      <c r="H40" s="41" t="inlineStr">
        <is>
          <t>Not started</t>
        </is>
      </c>
      <c r="I40" s="42" t="n">
        <v>0</v>
      </c>
      <c r="J40" s="44" t="n"/>
      <c r="K40" s="41" t="n"/>
    </row>
    <row r="41">
      <c r="A41" s="41" t="inlineStr">
        <is>
          <t>03 🔥 React + TypeScript + Tailwind</t>
        </is>
      </c>
      <c r="B41" s="42" t="n">
        <v>4</v>
      </c>
      <c r="C41" s="41" t="inlineStr">
        <is>
          <t>useState + controlled inputs + forms</t>
        </is>
      </c>
      <c r="D41" s="41" t="n"/>
      <c r="E41" s="43" t="n">
        <v>5</v>
      </c>
      <c r="F41" s="44" t="n"/>
      <c r="G41" s="44" t="n"/>
      <c r="H41" s="41" t="inlineStr">
        <is>
          <t>Not started</t>
        </is>
      </c>
      <c r="I41" s="42" t="n">
        <v>0</v>
      </c>
      <c r="J41" s="44" t="n"/>
      <c r="K41" s="41" t="n"/>
    </row>
    <row r="42">
      <c r="A42" s="41" t="inlineStr">
        <is>
          <t>03 🔥 React + TypeScript + Tailwind</t>
        </is>
      </c>
      <c r="B42" s="42" t="n">
        <v>5</v>
      </c>
      <c r="C42" s="41" t="inlineStr">
        <is>
          <t>Lists &amp; keys — and why index keys break things</t>
        </is>
      </c>
      <c r="D42" s="41" t="n"/>
      <c r="E42" s="43" t="n">
        <v>5</v>
      </c>
      <c r="F42" s="44" t="n"/>
      <c r="G42" s="44" t="n"/>
      <c r="H42" s="41" t="inlineStr">
        <is>
          <t>Not started</t>
        </is>
      </c>
      <c r="I42" s="42" t="n">
        <v>0</v>
      </c>
      <c r="J42" s="44" t="n"/>
      <c r="K42" s="41" t="n"/>
    </row>
    <row r="43">
      <c r="A43" s="41" t="inlineStr">
        <is>
          <t>03 🔥 React + TypeScript + Tailwind</t>
        </is>
      </c>
      <c r="B43" s="42" t="n">
        <v>6</v>
      </c>
      <c r="C43" s="41" t="inlineStr">
        <is>
          <t>useEffect: dependency array, cleanup, avoid loops</t>
        </is>
      </c>
      <c r="D43" s="41" t="n"/>
      <c r="E43" s="43" t="n">
        <v>5</v>
      </c>
      <c r="F43" s="44" t="n"/>
      <c r="G43" s="44" t="n"/>
      <c r="H43" s="41" t="inlineStr">
        <is>
          <t>Not started</t>
        </is>
      </c>
      <c r="I43" s="42" t="n">
        <v>0</v>
      </c>
      <c r="J43" s="44" t="n"/>
      <c r="K43" s="41" t="n"/>
    </row>
    <row r="44">
      <c r="A44" s="41" t="inlineStr">
        <is>
          <t>03 🔥 React + TypeScript + Tailwind</t>
        </is>
      </c>
      <c r="B44" s="42" t="n">
        <v>7</v>
      </c>
      <c r="C44" s="41" t="inlineStr">
        <is>
          <t>Lifting state up + derived state (no duplicate state)</t>
        </is>
      </c>
      <c r="D44" s="41" t="n"/>
      <c r="E44" s="43" t="n">
        <v>5</v>
      </c>
      <c r="F44" s="44" t="n"/>
      <c r="G44" s="44" t="n"/>
      <c r="H44" s="41" t="inlineStr">
        <is>
          <t>Not started</t>
        </is>
      </c>
      <c r="I44" s="42" t="n">
        <v>0</v>
      </c>
      <c r="J44" s="44" t="n"/>
      <c r="K44" s="41" t="n"/>
    </row>
    <row r="45">
      <c r="A45" s="41" t="inlineStr">
        <is>
          <t>03 🔥 React + TypeScript + Tailwind</t>
        </is>
      </c>
      <c r="B45" s="42" t="n">
        <v>8</v>
      </c>
      <c r="C45" s="41" t="inlineStr">
        <is>
          <t>React Router: routes, params, nested routes, 404</t>
        </is>
      </c>
      <c r="D45" s="41" t="n"/>
      <c r="E45" s="43" t="n">
        <v>5</v>
      </c>
      <c r="F45" s="44" t="n"/>
      <c r="G45" s="44" t="n"/>
      <c r="H45" s="41" t="inlineStr">
        <is>
          <t>Not started</t>
        </is>
      </c>
      <c r="I45" s="42" t="n">
        <v>0</v>
      </c>
      <c r="J45" s="44" t="n"/>
      <c r="K45" s="41" t="n"/>
    </row>
    <row r="46">
      <c r="A46" s="41" t="inlineStr">
        <is>
          <t>03 🔥 React + TypeScript + Tailwind</t>
        </is>
      </c>
      <c r="B46" s="42" t="n">
        <v>9</v>
      </c>
      <c r="C46" s="41" t="inlineStr">
        <is>
          <t>Context API + custom hooks</t>
        </is>
      </c>
      <c r="D46" s="41" t="n"/>
      <c r="E46" s="43" t="n">
        <v>5</v>
      </c>
      <c r="F46" s="44" t="n"/>
      <c r="G46" s="44" t="n"/>
      <c r="H46" s="41" t="inlineStr">
        <is>
          <t>Not started</t>
        </is>
      </c>
      <c r="I46" s="42" t="n">
        <v>0</v>
      </c>
      <c r="J46" s="44" t="n"/>
      <c r="K46" s="41" t="n"/>
    </row>
    <row r="47">
      <c r="A47" s="41" t="inlineStr">
        <is>
          <t>03 🔥 React + TypeScript + Tailwind</t>
        </is>
      </c>
      <c r="B47" s="42" t="n">
        <v>10</v>
      </c>
      <c r="C47" s="41" t="inlineStr">
        <is>
          <t>Fetch data + loading skeletons + error UI</t>
        </is>
      </c>
      <c r="D47" s="41" t="n"/>
      <c r="E47" s="43" t="n">
        <v>5</v>
      </c>
      <c r="F47" s="44" t="n"/>
      <c r="G47" s="44" t="n"/>
      <c r="H47" s="41" t="inlineStr">
        <is>
          <t>Not started</t>
        </is>
      </c>
      <c r="I47" s="42" t="n">
        <v>0</v>
      </c>
      <c r="J47" s="44" t="n"/>
      <c r="K47" s="41" t="n"/>
    </row>
    <row r="48">
      <c r="A48" s="41" t="inlineStr">
        <is>
          <t>03 🔥 React + TypeScript + Tailwind</t>
        </is>
      </c>
      <c r="B48" s="42" t="n">
        <v>11</v>
      </c>
      <c r="C48" s="41" t="inlineStr">
        <is>
          <t>TypeScript: types, interfaces, unions, narrowing</t>
        </is>
      </c>
      <c r="D48" s="41" t="n"/>
      <c r="E48" s="43" t="n">
        <v>5</v>
      </c>
      <c r="F48" s="44" t="n"/>
      <c r="G48" s="44" t="n"/>
      <c r="H48" s="41" t="inlineStr">
        <is>
          <t>Not started</t>
        </is>
      </c>
      <c r="I48" s="42" t="n">
        <v>0</v>
      </c>
      <c r="J48" s="44" t="n"/>
      <c r="K48" s="41" t="n"/>
    </row>
    <row r="49">
      <c r="A49" s="41" t="inlineStr">
        <is>
          <t>03 🔥 React + TypeScript + Tailwind</t>
        </is>
      </c>
      <c r="B49" s="42" t="n">
        <v>12</v>
      </c>
      <c r="C49" s="41" t="inlineStr">
        <is>
          <t>Generics basics + typing props, state, events</t>
        </is>
      </c>
      <c r="D49" s="41" t="n"/>
      <c r="E49" s="43" t="n">
        <v>5</v>
      </c>
      <c r="F49" s="44" t="n"/>
      <c r="G49" s="44" t="n"/>
      <c r="H49" s="41" t="inlineStr">
        <is>
          <t>Not started</t>
        </is>
      </c>
      <c r="I49" s="42" t="n">
        <v>0</v>
      </c>
      <c r="J49" s="44" t="n"/>
      <c r="K49" s="41" t="n"/>
    </row>
    <row r="50">
      <c r="A50" s="41" t="inlineStr">
        <is>
          <t>03 🔥 React + TypeScript + Tailwind</t>
        </is>
      </c>
      <c r="B50" s="42" t="n">
        <v>13</v>
      </c>
      <c r="C50" s="41" t="inlineStr">
        <is>
          <t>Tailwind: spacing scale, responsive prefixes, dark mode</t>
        </is>
      </c>
      <c r="D50" s="41" t="n"/>
      <c r="E50" s="43" t="n">
        <v>5</v>
      </c>
      <c r="F50" s="44" t="n"/>
      <c r="G50" s="44" t="n"/>
      <c r="H50" s="41" t="inlineStr">
        <is>
          <t>Not started</t>
        </is>
      </c>
      <c r="I50" s="42" t="n">
        <v>0</v>
      </c>
      <c r="J50" s="44" t="n"/>
      <c r="K50" s="41" t="n"/>
    </row>
    <row r="51">
      <c r="A51" s="41" t="inlineStr">
        <is>
          <t>03 🔥 React + TypeScript + Tailwind</t>
        </is>
      </c>
      <c r="B51" s="42" t="n">
        <v>14</v>
      </c>
      <c r="C51" s="41" t="inlineStr">
        <is>
          <t>Reusable component folder structure</t>
        </is>
      </c>
      <c r="D51" s="41" t="n"/>
      <c r="E51" s="43" t="n">
        <v>5</v>
      </c>
      <c r="F51" s="44" t="n"/>
      <c r="G51" s="44" t="n"/>
      <c r="H51" s="41" t="inlineStr">
        <is>
          <t>Not started</t>
        </is>
      </c>
      <c r="I51" s="42" t="n">
        <v>0</v>
      </c>
      <c r="J51" s="44" t="n"/>
      <c r="K51" s="41" t="n"/>
    </row>
    <row r="52">
      <c r="A52" s="41" t="inlineStr">
        <is>
          <t>03 🔥 React + TypeScript + Tailwind</t>
        </is>
      </c>
      <c r="B52" s="42" t="n">
        <v>15</v>
      </c>
      <c r="C52" s="41" t="inlineStr">
        <is>
          <t>Complete 2 Frontend Mentor challenges</t>
        </is>
      </c>
      <c r="D52" s="41" t="n"/>
      <c r="E52" s="43" t="n">
        <v>5</v>
      </c>
      <c r="F52" s="44" t="n"/>
      <c r="G52" s="44" t="n"/>
      <c r="H52" s="41" t="inlineStr">
        <is>
          <t>Not started</t>
        </is>
      </c>
      <c r="I52" s="42" t="n">
        <v>0</v>
      </c>
      <c r="J52" s="44" t="n"/>
      <c r="K52" s="41" t="n"/>
    </row>
    <row r="53">
      <c r="A53" s="41" t="inlineStr">
        <is>
          <t>03 🔥 React + TypeScript + Tailwind</t>
        </is>
      </c>
      <c r="B53" s="42" t="n">
        <v>16</v>
      </c>
      <c r="C53" s="41" t="inlineStr">
        <is>
          <t>Deploy the SPA to Vercel/Netlify</t>
        </is>
      </c>
      <c r="D53" s="41" t="n"/>
      <c r="E53" s="43" t="n">
        <v>5</v>
      </c>
      <c r="F53" s="44" t="n"/>
      <c r="G53" s="44" t="n"/>
      <c r="H53" s="41" t="inlineStr">
        <is>
          <t>Not started</t>
        </is>
      </c>
      <c r="I53" s="42" t="n">
        <v>0</v>
      </c>
      <c r="J53" s="44" t="n"/>
      <c r="K53" s="41" t="n"/>
    </row>
    <row r="54">
      <c r="A54" s="45" t="inlineStr">
        <is>
          <t>04 🏰 Node.js + Express + MongoDB</t>
        </is>
      </c>
      <c r="B54" s="46" t="n">
        <v>1</v>
      </c>
      <c r="C54" s="45" t="inlineStr">
        <is>
          <t>Node runtime, npm scripts, package.json, .env + dotenv</t>
        </is>
      </c>
      <c r="D54" s="45" t="inlineStr">
        <is>
          <t>Hitesh Choudhary — Complete Backend Developer Course (chai aur backend)</t>
        </is>
      </c>
      <c r="E54" s="47" t="n">
        <v>4.7</v>
      </c>
      <c r="F54" s="48" t="n"/>
      <c r="G54" s="48" t="n"/>
      <c r="H54" s="45" t="inlineStr">
        <is>
          <t>Not started</t>
        </is>
      </c>
      <c r="I54" s="46" t="n">
        <v>0</v>
      </c>
      <c r="J54" s="48" t="n"/>
      <c r="K54" s="45" t="n"/>
    </row>
    <row r="55">
      <c r="A55" s="45" t="inlineStr">
        <is>
          <t>04 🏰 Node.js + Express + MongoDB</t>
        </is>
      </c>
      <c r="B55" s="46" t="n">
        <v>2</v>
      </c>
      <c r="C55" s="45" t="inlineStr">
        <is>
          <t>HTTP verbs, status codes, headers, JSON body</t>
        </is>
      </c>
      <c r="D55" s="45" t="n"/>
      <c r="E55" s="47" t="n">
        <v>4.7</v>
      </c>
      <c r="F55" s="48" t="n"/>
      <c r="G55" s="48" t="n"/>
      <c r="H55" s="45" t="inlineStr">
        <is>
          <t>Not started</t>
        </is>
      </c>
      <c r="I55" s="46" t="n">
        <v>0</v>
      </c>
      <c r="J55" s="48" t="n"/>
      <c r="K55" s="45" t="n"/>
    </row>
    <row r="56">
      <c r="A56" s="45" t="inlineStr">
        <is>
          <t>04 🏰 Node.js + Express + MongoDB</t>
        </is>
      </c>
      <c r="B56" s="46" t="n">
        <v>3</v>
      </c>
      <c r="C56" s="45" t="inlineStr">
        <is>
          <t>Express: routing, route params, query strings</t>
        </is>
      </c>
      <c r="D56" s="45" t="n"/>
      <c r="E56" s="47" t="n">
        <v>4.7</v>
      </c>
      <c r="F56" s="48" t="n"/>
      <c r="G56" s="48" t="n"/>
      <c r="H56" s="45" t="inlineStr">
        <is>
          <t>Not started</t>
        </is>
      </c>
      <c r="I56" s="46" t="n">
        <v>0</v>
      </c>
      <c r="J56" s="48" t="n"/>
      <c r="K56" s="45" t="n"/>
    </row>
    <row r="57">
      <c r="A57" s="45" t="inlineStr">
        <is>
          <t>04 🏰 Node.js + Express + MongoDB</t>
        </is>
      </c>
      <c r="B57" s="46" t="n">
        <v>4</v>
      </c>
      <c r="C57" s="45" t="inlineStr">
        <is>
          <t>Middleware — write your own logger &amp; auth guard</t>
        </is>
      </c>
      <c r="D57" s="45" t="n"/>
      <c r="E57" s="47" t="n">
        <v>4.7</v>
      </c>
      <c r="F57" s="48" t="n"/>
      <c r="G57" s="48" t="n"/>
      <c r="H57" s="45" t="inlineStr">
        <is>
          <t>Not started</t>
        </is>
      </c>
      <c r="I57" s="46" t="n">
        <v>0</v>
      </c>
      <c r="J57" s="48" t="n"/>
      <c r="K57" s="45" t="n"/>
    </row>
    <row r="58">
      <c r="A58" s="45" t="inlineStr">
        <is>
          <t>04 🏰 Node.js + Express + MongoDB</t>
        </is>
      </c>
      <c r="B58" s="46" t="n">
        <v>5</v>
      </c>
      <c r="C58" s="45" t="inlineStr">
        <is>
          <t>Folder structure: routes / controllers / models / utils</t>
        </is>
      </c>
      <c r="D58" s="45" t="n"/>
      <c r="E58" s="47" t="n">
        <v>4.7</v>
      </c>
      <c r="F58" s="48" t="n"/>
      <c r="G58" s="48" t="n"/>
      <c r="H58" s="45" t="inlineStr">
        <is>
          <t>Not started</t>
        </is>
      </c>
      <c r="I58" s="46" t="n">
        <v>0</v>
      </c>
      <c r="J58" s="48" t="n"/>
      <c r="K58" s="45" t="n"/>
    </row>
    <row r="59">
      <c r="A59" s="45" t="inlineStr">
        <is>
          <t>04 🏰 Node.js + Express + MongoDB</t>
        </is>
      </c>
      <c r="B59" s="46" t="n">
        <v>6</v>
      </c>
      <c r="C59" s="45" t="inlineStr">
        <is>
          <t>MongoDB Atlas cluster + connection string + IP allow-list</t>
        </is>
      </c>
      <c r="D59" s="45" t="n"/>
      <c r="E59" s="47" t="n">
        <v>4.7</v>
      </c>
      <c r="F59" s="48" t="n"/>
      <c r="G59" s="48" t="n"/>
      <c r="H59" s="45" t="inlineStr">
        <is>
          <t>Not started</t>
        </is>
      </c>
      <c r="I59" s="46" t="n">
        <v>0</v>
      </c>
      <c r="J59" s="48" t="n"/>
      <c r="K59" s="45" t="n"/>
    </row>
    <row r="60">
      <c r="A60" s="45" t="inlineStr">
        <is>
          <t>04 🏰 Node.js + Express + MongoDB</t>
        </is>
      </c>
      <c r="B60" s="46" t="n">
        <v>7</v>
      </c>
      <c r="C60" s="45" t="inlineStr">
        <is>
          <t>Mongoose schema, validation, indexes</t>
        </is>
      </c>
      <c r="D60" s="45" t="n"/>
      <c r="E60" s="47" t="n">
        <v>4.7</v>
      </c>
      <c r="F60" s="48" t="n"/>
      <c r="G60" s="48" t="n"/>
      <c r="H60" s="45" t="inlineStr">
        <is>
          <t>Not started</t>
        </is>
      </c>
      <c r="I60" s="46" t="n">
        <v>0</v>
      </c>
      <c r="J60" s="48" t="n"/>
      <c r="K60" s="45" t="n"/>
    </row>
    <row r="61">
      <c r="A61" s="45" t="inlineStr">
        <is>
          <t>04 🏰 Node.js + Express + MongoDB</t>
        </is>
      </c>
      <c r="B61" s="46" t="n">
        <v>8</v>
      </c>
      <c r="C61" s="45" t="inlineStr">
        <is>
          <t>CRUD endpoints (GET all, GET one, POST, PATCH, DELETE)</t>
        </is>
      </c>
      <c r="D61" s="45" t="n"/>
      <c r="E61" s="47" t="n">
        <v>4.7</v>
      </c>
      <c r="F61" s="48" t="n"/>
      <c r="G61" s="48" t="n"/>
      <c r="H61" s="45" t="inlineStr">
        <is>
          <t>Not started</t>
        </is>
      </c>
      <c r="I61" s="46" t="n">
        <v>0</v>
      </c>
      <c r="J61" s="48" t="n"/>
      <c r="K61" s="45" t="n"/>
    </row>
    <row r="62">
      <c r="A62" s="45" t="inlineStr">
        <is>
          <t>04 🏰 Node.js + Express + MongoDB</t>
        </is>
      </c>
      <c r="B62" s="46" t="n">
        <v>9</v>
      </c>
      <c r="C62" s="45" t="inlineStr">
        <is>
          <t>Pagination, filtering, sorting</t>
        </is>
      </c>
      <c r="D62" s="45" t="n"/>
      <c r="E62" s="47" t="n">
        <v>4.7</v>
      </c>
      <c r="F62" s="48" t="n"/>
      <c r="G62" s="48" t="n"/>
      <c r="H62" s="45" t="inlineStr">
        <is>
          <t>Not started</t>
        </is>
      </c>
      <c r="I62" s="46" t="n">
        <v>0</v>
      </c>
      <c r="J62" s="48" t="n"/>
      <c r="K62" s="45" t="n"/>
    </row>
    <row r="63">
      <c r="A63" s="45" t="inlineStr">
        <is>
          <t>04 🏰 Node.js + Express + MongoDB</t>
        </is>
      </c>
      <c r="B63" s="46" t="n">
        <v>10</v>
      </c>
      <c r="C63" s="45" t="inlineStr">
        <is>
          <t>bcrypt password hashing</t>
        </is>
      </c>
      <c r="D63" s="45" t="n"/>
      <c r="E63" s="47" t="n">
        <v>4.7</v>
      </c>
      <c r="F63" s="48" t="n"/>
      <c r="G63" s="48" t="n"/>
      <c r="H63" s="45" t="inlineStr">
        <is>
          <t>Not started</t>
        </is>
      </c>
      <c r="I63" s="46" t="n">
        <v>0</v>
      </c>
      <c r="J63" s="48" t="n"/>
      <c r="K63" s="45" t="n"/>
    </row>
    <row r="64">
      <c r="A64" s="45" t="inlineStr">
        <is>
          <t>04 🏰 Node.js + Express + MongoDB</t>
        </is>
      </c>
      <c r="B64" s="46" t="n">
        <v>11</v>
      </c>
      <c r="C64" s="45" t="inlineStr">
        <is>
          <t>JWT access tokens + login/register flow</t>
        </is>
      </c>
      <c r="D64" s="45" t="n"/>
      <c r="E64" s="47" t="n">
        <v>4.7</v>
      </c>
      <c r="F64" s="48" t="n"/>
      <c r="G64" s="48" t="n"/>
      <c r="H64" s="45" t="inlineStr">
        <is>
          <t>Not started</t>
        </is>
      </c>
      <c r="I64" s="46" t="n">
        <v>0</v>
      </c>
      <c r="J64" s="48" t="n"/>
      <c r="K64" s="45" t="n"/>
    </row>
    <row r="65">
      <c r="A65" s="45" t="inlineStr">
        <is>
          <t>04 🏰 Node.js + Express + MongoDB</t>
        </is>
      </c>
      <c r="B65" s="46" t="n">
        <v>12</v>
      </c>
      <c r="C65" s="45" t="inlineStr">
        <is>
          <t>Role-based access (user / admin / recruiter)</t>
        </is>
      </c>
      <c r="D65" s="45" t="n"/>
      <c r="E65" s="47" t="n">
        <v>4.7</v>
      </c>
      <c r="F65" s="48" t="n"/>
      <c r="G65" s="48" t="n"/>
      <c r="H65" s="45" t="inlineStr">
        <is>
          <t>Not started</t>
        </is>
      </c>
      <c r="I65" s="46" t="n">
        <v>0</v>
      </c>
      <c r="J65" s="48" t="n"/>
      <c r="K65" s="45" t="n"/>
    </row>
    <row r="66">
      <c r="A66" s="45" t="inlineStr">
        <is>
          <t>04 🏰 Node.js + Express + MongoDB</t>
        </is>
      </c>
      <c r="B66" s="46" t="n">
        <v>13</v>
      </c>
      <c r="C66" s="45" t="inlineStr">
        <is>
          <t>Central error handler + async wrapper</t>
        </is>
      </c>
      <c r="D66" s="45" t="n"/>
      <c r="E66" s="47" t="n">
        <v>4.7</v>
      </c>
      <c r="F66" s="48" t="n"/>
      <c r="G66" s="48" t="n"/>
      <c r="H66" s="45" t="inlineStr">
        <is>
          <t>Not started</t>
        </is>
      </c>
      <c r="I66" s="46" t="n">
        <v>0</v>
      </c>
      <c r="J66" s="48" t="n"/>
      <c r="K66" s="45" t="n"/>
    </row>
    <row r="67">
      <c r="A67" s="45" t="inlineStr">
        <is>
          <t>04 🏰 Node.js + Express + MongoDB</t>
        </is>
      </c>
      <c r="B67" s="46" t="n">
        <v>14</v>
      </c>
      <c r="C67" s="45" t="inlineStr">
        <is>
          <t>Request validation (zod or express-validator)</t>
        </is>
      </c>
      <c r="D67" s="45" t="n"/>
      <c r="E67" s="47" t="n">
        <v>4.7</v>
      </c>
      <c r="F67" s="48" t="n"/>
      <c r="G67" s="48" t="n"/>
      <c r="H67" s="45" t="inlineStr">
        <is>
          <t>Not started</t>
        </is>
      </c>
      <c r="I67" s="46" t="n">
        <v>0</v>
      </c>
      <c r="J67" s="48" t="n"/>
      <c r="K67" s="45" t="n"/>
    </row>
    <row r="68">
      <c r="A68" s="45" t="inlineStr">
        <is>
          <t>04 🏰 Node.js + Express + MongoDB</t>
        </is>
      </c>
      <c r="B68" s="46" t="n">
        <v>15</v>
      </c>
      <c r="C68" s="45" t="inlineStr">
        <is>
          <t>File upload with Multer (Cloudinary optional)</t>
        </is>
      </c>
      <c r="D68" s="45" t="n"/>
      <c r="E68" s="47" t="n">
        <v>4.7</v>
      </c>
      <c r="F68" s="48" t="n"/>
      <c r="G68" s="48" t="n"/>
      <c r="H68" s="45" t="inlineStr">
        <is>
          <t>Not started</t>
        </is>
      </c>
      <c r="I68" s="46" t="n">
        <v>0</v>
      </c>
      <c r="J68" s="48" t="n"/>
      <c r="K68" s="45" t="n"/>
    </row>
    <row r="69">
      <c r="A69" s="45" t="inlineStr">
        <is>
          <t>04 🏰 Node.js + Express + MongoDB</t>
        </is>
      </c>
      <c r="B69" s="46" t="n">
        <v>16</v>
      </c>
      <c r="C69" s="45" t="inlineStr">
        <is>
          <t>CORS, helmet, rate limiting</t>
        </is>
      </c>
      <c r="D69" s="45" t="n"/>
      <c r="E69" s="47" t="n">
        <v>4.7</v>
      </c>
      <c r="F69" s="48" t="n"/>
      <c r="G69" s="48" t="n"/>
      <c r="H69" s="45" t="inlineStr">
        <is>
          <t>Not started</t>
        </is>
      </c>
      <c r="I69" s="46" t="n">
        <v>0</v>
      </c>
      <c r="J69" s="48" t="n"/>
      <c r="K69" s="45" t="n"/>
    </row>
    <row r="70">
      <c r="A70" s="45" t="inlineStr">
        <is>
          <t>04 🏰 Node.js + Express + MongoDB</t>
        </is>
      </c>
      <c r="B70" s="46" t="n">
        <v>17</v>
      </c>
      <c r="C70" s="45" t="inlineStr">
        <is>
          <t>Postman collection + test every endpoint</t>
        </is>
      </c>
      <c r="D70" s="45" t="n"/>
      <c r="E70" s="47" t="n">
        <v>4.7</v>
      </c>
      <c r="F70" s="48" t="n"/>
      <c r="G70" s="48" t="n"/>
      <c r="H70" s="45" t="inlineStr">
        <is>
          <t>Not started</t>
        </is>
      </c>
      <c r="I70" s="46" t="n">
        <v>0</v>
      </c>
      <c r="J70" s="48" t="n"/>
      <c r="K70" s="45" t="n"/>
    </row>
    <row r="71">
      <c r="A71" s="45" t="inlineStr">
        <is>
          <t>04 🏰 Node.js + Express + MongoDB</t>
        </is>
      </c>
      <c r="B71" s="46" t="n">
        <v>18</v>
      </c>
      <c r="C71" s="45" t="inlineStr">
        <is>
          <t>README API docs with request/response examples</t>
        </is>
      </c>
      <c r="D71" s="45" t="n"/>
      <c r="E71" s="47" t="n">
        <v>4.7</v>
      </c>
      <c r="F71" s="48" t="n"/>
      <c r="G71" s="48" t="n"/>
      <c r="H71" s="45" t="inlineStr">
        <is>
          <t>Not started</t>
        </is>
      </c>
      <c r="I71" s="46" t="n">
        <v>0</v>
      </c>
      <c r="J71" s="48" t="n"/>
      <c r="K71" s="45" t="n"/>
    </row>
    <row r="72">
      <c r="A72" s="45" t="inlineStr">
        <is>
          <t>04 🏰 Node.js + Express + MongoDB</t>
        </is>
      </c>
      <c r="B72" s="46" t="n">
        <v>19</v>
      </c>
      <c r="C72" s="45" t="inlineStr">
        <is>
          <t>Deploy API to Render or Railway + set env vars</t>
        </is>
      </c>
      <c r="D72" s="45" t="n"/>
      <c r="E72" s="47" t="n">
        <v>4.7</v>
      </c>
      <c r="F72" s="48" t="n"/>
      <c r="G72" s="48" t="n"/>
      <c r="H72" s="45" t="inlineStr">
        <is>
          <t>Not started</t>
        </is>
      </c>
      <c r="I72" s="46" t="n">
        <v>0</v>
      </c>
      <c r="J72" s="48" t="n"/>
      <c r="K72" s="45" t="n"/>
    </row>
    <row r="73">
      <c r="A73" s="49" t="inlineStr">
        <is>
          <t>05 🗺️ SQL + Python (Kerala JD insurance)</t>
        </is>
      </c>
      <c r="B73" s="50" t="n">
        <v>1</v>
      </c>
      <c r="C73" s="49" t="inlineStr">
        <is>
          <t>SELECT, WHERE, ORDER BY, LIMIT</t>
        </is>
      </c>
      <c r="D73" s="49" t="inlineStr">
        <is>
          <t>Programming with Mosh — MySQL Tutorial for Beginners [Full Course]</t>
        </is>
      </c>
      <c r="E73" s="51" t="n">
        <v>2.8</v>
      </c>
      <c r="F73" s="52" t="n"/>
      <c r="G73" s="52" t="n"/>
      <c r="H73" s="49" t="inlineStr">
        <is>
          <t>Not started</t>
        </is>
      </c>
      <c r="I73" s="50" t="n">
        <v>0</v>
      </c>
      <c r="J73" s="52" t="n"/>
      <c r="K73" s="49" t="n"/>
    </row>
    <row r="74">
      <c r="A74" s="49" t="inlineStr">
        <is>
          <t>05 🗺️ SQL + Python (Kerala JD insurance)</t>
        </is>
      </c>
      <c r="B74" s="50" t="n">
        <v>2</v>
      </c>
      <c r="C74" s="49" t="inlineStr">
        <is>
          <t>INNER JOIN, LEFT JOIN, self joins</t>
        </is>
      </c>
      <c r="D74" s="49" t="n"/>
      <c r="E74" s="51" t="n">
        <v>2.8</v>
      </c>
      <c r="F74" s="52" t="n"/>
      <c r="G74" s="52" t="n"/>
      <c r="H74" s="49" t="inlineStr">
        <is>
          <t>Not started</t>
        </is>
      </c>
      <c r="I74" s="50" t="n">
        <v>0</v>
      </c>
      <c r="J74" s="52" t="n"/>
      <c r="K74" s="49" t="n"/>
    </row>
    <row r="75">
      <c r="A75" s="49" t="inlineStr">
        <is>
          <t>05 🗺️ SQL + Python (Kerala JD insurance)</t>
        </is>
      </c>
      <c r="B75" s="50" t="n">
        <v>3</v>
      </c>
      <c r="C75" s="49" t="inlineStr">
        <is>
          <t>GROUP BY, HAVING, aggregate functions</t>
        </is>
      </c>
      <c r="D75" s="49" t="n"/>
      <c r="E75" s="51" t="n">
        <v>2.8</v>
      </c>
      <c r="F75" s="52" t="n"/>
      <c r="G75" s="52" t="n"/>
      <c r="H75" s="49" t="inlineStr">
        <is>
          <t>Not started</t>
        </is>
      </c>
      <c r="I75" s="50" t="n">
        <v>0</v>
      </c>
      <c r="J75" s="52" t="n"/>
      <c r="K75" s="49" t="n"/>
    </row>
    <row r="76">
      <c r="A76" s="49" t="inlineStr">
        <is>
          <t>05 🗺️ SQL + Python (Kerala JD insurance)</t>
        </is>
      </c>
      <c r="B76" s="50" t="n">
        <v>4</v>
      </c>
      <c r="C76" s="49" t="inlineStr">
        <is>
          <t>Subqueries + CTEs (WITH)</t>
        </is>
      </c>
      <c r="D76" s="49" t="n"/>
      <c r="E76" s="51" t="n">
        <v>2.8</v>
      </c>
      <c r="F76" s="52" t="n"/>
      <c r="G76" s="52" t="n"/>
      <c r="H76" s="49" t="inlineStr">
        <is>
          <t>Not started</t>
        </is>
      </c>
      <c r="I76" s="50" t="n">
        <v>0</v>
      </c>
      <c r="J76" s="52" t="n"/>
      <c r="K76" s="49" t="n"/>
    </row>
    <row r="77">
      <c r="A77" s="49" t="inlineStr">
        <is>
          <t>05 🗺️ SQL + Python (Kerala JD insurance)</t>
        </is>
      </c>
      <c r="B77" s="50" t="n">
        <v>5</v>
      </c>
      <c r="C77" s="49" t="inlineStr">
        <is>
          <t>INSERT / UPDATE / DELETE + transactions</t>
        </is>
      </c>
      <c r="D77" s="49" t="n"/>
      <c r="E77" s="51" t="n">
        <v>2.8</v>
      </c>
      <c r="F77" s="52" t="n"/>
      <c r="G77" s="52" t="n"/>
      <c r="H77" s="49" t="inlineStr">
        <is>
          <t>Not started</t>
        </is>
      </c>
      <c r="I77" s="50" t="n">
        <v>0</v>
      </c>
      <c r="J77" s="52" t="n"/>
      <c r="K77" s="49" t="n"/>
    </row>
    <row r="78">
      <c r="A78" s="49" t="inlineStr">
        <is>
          <t>05 🗺️ SQL + Python (Kerala JD insurance)</t>
        </is>
      </c>
      <c r="B78" s="50" t="n">
        <v>6</v>
      </c>
      <c r="C78" s="49" t="inlineStr">
        <is>
          <t>Indexes: when they help and when they hurt</t>
        </is>
      </c>
      <c r="D78" s="49" t="n"/>
      <c r="E78" s="51" t="n">
        <v>2.8</v>
      </c>
      <c r="F78" s="52" t="n"/>
      <c r="G78" s="52" t="n"/>
      <c r="H78" s="49" t="inlineStr">
        <is>
          <t>Not started</t>
        </is>
      </c>
      <c r="I78" s="50" t="n">
        <v>0</v>
      </c>
      <c r="J78" s="52" t="n"/>
      <c r="K78" s="49" t="n"/>
    </row>
    <row r="79">
      <c r="A79" s="49" t="inlineStr">
        <is>
          <t>05 🗺️ SQL + Python (Kerala JD insurance)</t>
        </is>
      </c>
      <c r="B79" s="50" t="n">
        <v>7</v>
      </c>
      <c r="C79" s="49" t="inlineStr">
        <is>
          <t>Normalization + design a 5-table schema</t>
        </is>
      </c>
      <c r="D79" s="49" t="n"/>
      <c r="E79" s="51" t="n">
        <v>2.8</v>
      </c>
      <c r="F79" s="52" t="n"/>
      <c r="G79" s="52" t="n"/>
      <c r="H79" s="49" t="inlineStr">
        <is>
          <t>Not started</t>
        </is>
      </c>
      <c r="I79" s="50" t="n">
        <v>0</v>
      </c>
      <c r="J79" s="52" t="n"/>
      <c r="K79" s="49" t="n"/>
    </row>
    <row r="80">
      <c r="A80" s="49" t="inlineStr">
        <is>
          <t>05 🗺️ SQL + Python (Kerala JD insurance)</t>
        </is>
      </c>
      <c r="B80" s="50" t="n">
        <v>8</v>
      </c>
      <c r="C80" s="49" t="inlineStr">
        <is>
          <t>20 interview-style SQL queries on your own schema</t>
        </is>
      </c>
      <c r="D80" s="49" t="n"/>
      <c r="E80" s="51" t="n">
        <v>2.8</v>
      </c>
      <c r="F80" s="52" t="n"/>
      <c r="G80" s="52" t="n"/>
      <c r="H80" s="49" t="inlineStr">
        <is>
          <t>Not started</t>
        </is>
      </c>
      <c r="I80" s="50" t="n">
        <v>0</v>
      </c>
      <c r="J80" s="52" t="n"/>
      <c r="K80" s="49" t="n"/>
    </row>
    <row r="81">
      <c r="A81" s="49" t="inlineStr">
        <is>
          <t>05 🗺️ SQL + Python (Kerala JD insurance)</t>
        </is>
      </c>
      <c r="B81" s="50" t="n">
        <v>9</v>
      </c>
      <c r="C81" s="49" t="inlineStr">
        <is>
          <t>LeetCode SQL 50 or HackerRank SQL badge</t>
        </is>
      </c>
      <c r="D81" s="49" t="n"/>
      <c r="E81" s="51" t="n">
        <v>2.8</v>
      </c>
      <c r="F81" s="52" t="n"/>
      <c r="G81" s="52" t="n"/>
      <c r="H81" s="49" t="inlineStr">
        <is>
          <t>Not started</t>
        </is>
      </c>
      <c r="I81" s="50" t="n">
        <v>0</v>
      </c>
      <c r="J81" s="52" t="n"/>
      <c r="K81" s="49" t="n"/>
    </row>
    <row r="82">
      <c r="A82" s="49" t="inlineStr">
        <is>
          <t>05 🗺️ SQL + Python (Kerala JD insurance)</t>
        </is>
      </c>
      <c r="B82" s="50" t="n">
        <v>10</v>
      </c>
      <c r="C82" s="49" t="inlineStr">
        <is>
          <t>Python syntax: lists, dicts, loops, functions</t>
        </is>
      </c>
      <c r="D82" s="49" t="n"/>
      <c r="E82" s="51" t="n">
        <v>2.8</v>
      </c>
      <c r="F82" s="52" t="n"/>
      <c r="G82" s="52" t="n"/>
      <c r="H82" s="49" t="inlineStr">
        <is>
          <t>Not started</t>
        </is>
      </c>
      <c r="I82" s="50" t="n">
        <v>0</v>
      </c>
      <c r="J82" s="52" t="n"/>
      <c r="K82" s="49" t="n"/>
    </row>
    <row r="83">
      <c r="A83" s="49" t="inlineStr">
        <is>
          <t>05 🗺️ SQL + Python (Kerala JD insurance)</t>
        </is>
      </c>
      <c r="B83" s="50" t="n">
        <v>11</v>
      </c>
      <c r="C83" s="49" t="inlineStr">
        <is>
          <t>Virtualenv + pip + requirements.txt</t>
        </is>
      </c>
      <c r="D83" s="49" t="n"/>
      <c r="E83" s="51" t="n">
        <v>2.8</v>
      </c>
      <c r="F83" s="52" t="n"/>
      <c r="G83" s="52" t="n"/>
      <c r="H83" s="49" t="inlineStr">
        <is>
          <t>Not started</t>
        </is>
      </c>
      <c r="I83" s="50" t="n">
        <v>0</v>
      </c>
      <c r="J83" s="52" t="n"/>
      <c r="K83" s="49" t="n"/>
    </row>
    <row r="84">
      <c r="A84" s="49" t="inlineStr">
        <is>
          <t>05 🗺️ SQL + Python (Kerala JD insurance)</t>
        </is>
      </c>
      <c r="B84" s="50" t="n">
        <v>12</v>
      </c>
      <c r="C84" s="49" t="inlineStr">
        <is>
          <t>OOP basics + exceptions + file I/O</t>
        </is>
      </c>
      <c r="D84" s="49" t="n"/>
      <c r="E84" s="51" t="n">
        <v>2.8</v>
      </c>
      <c r="F84" s="52" t="n"/>
      <c r="G84" s="52" t="n"/>
      <c r="H84" s="49" t="inlineStr">
        <is>
          <t>Not started</t>
        </is>
      </c>
      <c r="I84" s="50" t="n">
        <v>0</v>
      </c>
      <c r="J84" s="52" t="n"/>
      <c r="K84" s="49" t="n"/>
    </row>
    <row r="85">
      <c r="A85" s="49" t="inlineStr">
        <is>
          <t>05 🗺️ SQL + Python (Kerala JD insurance)</t>
        </is>
      </c>
      <c r="B85" s="50" t="n">
        <v>13</v>
      </c>
      <c r="C85" s="49" t="inlineStr">
        <is>
          <t>requests library + JSON parsing</t>
        </is>
      </c>
      <c r="D85" s="49" t="n"/>
      <c r="E85" s="51" t="n">
        <v>2.8</v>
      </c>
      <c r="F85" s="52" t="n"/>
      <c r="G85" s="52" t="n"/>
      <c r="H85" s="49" t="inlineStr">
        <is>
          <t>Not started</t>
        </is>
      </c>
      <c r="I85" s="50" t="n">
        <v>0</v>
      </c>
      <c r="J85" s="52" t="n"/>
      <c r="K85" s="49" t="n"/>
    </row>
    <row r="86">
      <c r="A86" s="49" t="inlineStr">
        <is>
          <t>05 🗺️ SQL + Python (Kerala JD insurance)</t>
        </is>
      </c>
      <c r="B86" s="50" t="n">
        <v>14</v>
      </c>
      <c r="C86" s="49" t="inlineStr">
        <is>
          <t>Build a Python CLI (report / scraper)</t>
        </is>
      </c>
      <c r="D86" s="49" t="n"/>
      <c r="E86" s="51" t="n">
        <v>2.8</v>
      </c>
      <c r="F86" s="52" t="n"/>
      <c r="G86" s="52" t="n"/>
      <c r="H86" s="49" t="inlineStr">
        <is>
          <t>Not started</t>
        </is>
      </c>
      <c r="I86" s="50" t="n">
        <v>0</v>
      </c>
      <c r="J86" s="52" t="n"/>
      <c r="K86" s="49" t="n"/>
    </row>
    <row r="87">
      <c r="A87" s="49" t="inlineStr">
        <is>
          <t>05 🗺️ SQL + Python (Kerala JD insurance)</t>
        </is>
      </c>
      <c r="B87" s="50" t="n">
        <v>15</v>
      </c>
      <c r="C87" s="49" t="inlineStr">
        <is>
          <t>Build a tiny Flask or Django API (2 endpoints)</t>
        </is>
      </c>
      <c r="D87" s="49" t="n"/>
      <c r="E87" s="51" t="n">
        <v>2.8</v>
      </c>
      <c r="F87" s="52" t="n"/>
      <c r="G87" s="52" t="n"/>
      <c r="H87" s="49" t="inlineStr">
        <is>
          <t>Not started</t>
        </is>
      </c>
      <c r="I87" s="50" t="n">
        <v>0</v>
      </c>
      <c r="J87" s="52" t="n"/>
      <c r="K87" s="49" t="n"/>
    </row>
    <row r="88">
      <c r="A88" s="49" t="inlineStr">
        <is>
          <t>05 🗺️ SQL + Python (Kerala JD insurance)</t>
        </is>
      </c>
      <c r="B88" s="50" t="n">
        <v>16</v>
      </c>
      <c r="C88" s="49" t="inlineStr">
        <is>
          <t>Connect Python to SQLite/Postgres and run a query</t>
        </is>
      </c>
      <c r="D88" s="49" t="n"/>
      <c r="E88" s="51" t="n">
        <v>2.8</v>
      </c>
      <c r="F88" s="52" t="n"/>
      <c r="G88" s="52" t="n"/>
      <c r="H88" s="49" t="inlineStr">
        <is>
          <t>Not started</t>
        </is>
      </c>
      <c r="I88" s="50" t="n">
        <v>0</v>
      </c>
      <c r="J88" s="52" t="n"/>
      <c r="K88" s="49" t="n"/>
    </row>
    <row r="89">
      <c r="A89" s="53" t="inlineStr">
        <is>
          <t>06 🐉 Capstone + Docker + CI/CD</t>
        </is>
      </c>
      <c r="B89" s="54" t="n">
        <v>1</v>
      </c>
      <c r="C89" s="53" t="inlineStr">
        <is>
          <t>Write a 1-page PRD: users, user stories, 6–8 features</t>
        </is>
      </c>
      <c r="D89" s="53" t="inlineStr">
        <is>
          <t>TechWorld with Nana — Docker Tutorial for Beginners [FULL COURSE in 3 Hours]</t>
        </is>
      </c>
      <c r="E89" s="55" t="n">
        <v>4.1</v>
      </c>
      <c r="F89" s="56" t="n"/>
      <c r="G89" s="56" t="n"/>
      <c r="H89" s="53" t="inlineStr">
        <is>
          <t>Not started</t>
        </is>
      </c>
      <c r="I89" s="54" t="n">
        <v>0</v>
      </c>
      <c r="J89" s="56" t="n"/>
      <c r="K89" s="53" t="n"/>
    </row>
    <row r="90">
      <c r="A90" s="53" t="inlineStr">
        <is>
          <t>06 🐉 Capstone + Docker + CI/CD</t>
        </is>
      </c>
      <c r="B90" s="54" t="n">
        <v>2</v>
      </c>
      <c r="C90" s="53" t="inlineStr">
        <is>
          <t>Design the database schema + ER diagram</t>
        </is>
      </c>
      <c r="D90" s="53" t="n"/>
      <c r="E90" s="55" t="n">
        <v>4.1</v>
      </c>
      <c r="F90" s="56" t="n"/>
      <c r="G90" s="56" t="n"/>
      <c r="H90" s="53" t="inlineStr">
        <is>
          <t>Not started</t>
        </is>
      </c>
      <c r="I90" s="54" t="n">
        <v>0</v>
      </c>
      <c r="J90" s="56" t="n"/>
      <c r="K90" s="53" t="n"/>
    </row>
    <row r="91">
      <c r="A91" s="53" t="inlineStr">
        <is>
          <t>06 🐉 Capstone + Docker + CI/CD</t>
        </is>
      </c>
      <c r="B91" s="54" t="n">
        <v>3</v>
      </c>
      <c r="C91" s="53" t="inlineStr">
        <is>
          <t>Auth + roles (e.g. student / recruiter / admin)</t>
        </is>
      </c>
      <c r="D91" s="53" t="n"/>
      <c r="E91" s="55" t="n">
        <v>4.1</v>
      </c>
      <c r="F91" s="56" t="n"/>
      <c r="G91" s="56" t="n"/>
      <c r="H91" s="53" t="inlineStr">
        <is>
          <t>Not started</t>
        </is>
      </c>
      <c r="I91" s="54" t="n">
        <v>0</v>
      </c>
      <c r="J91" s="56" t="n"/>
      <c r="K91" s="53" t="n"/>
    </row>
    <row r="92">
      <c r="A92" s="53" t="inlineStr">
        <is>
          <t>06 🐉 Capstone + Docker + CI/CD</t>
        </is>
      </c>
      <c r="B92" s="54" t="n">
        <v>4</v>
      </c>
      <c r="C92" s="53" t="inlineStr">
        <is>
          <t>CRUD resources + search, filter, sort</t>
        </is>
      </c>
      <c r="D92" s="53" t="n"/>
      <c r="E92" s="55" t="n">
        <v>4.1</v>
      </c>
      <c r="F92" s="56" t="n"/>
      <c r="G92" s="56" t="n"/>
      <c r="H92" s="53" t="inlineStr">
        <is>
          <t>Not started</t>
        </is>
      </c>
      <c r="I92" s="54" t="n">
        <v>0</v>
      </c>
      <c r="J92" s="56" t="n"/>
      <c r="K92" s="53" t="n"/>
    </row>
    <row r="93">
      <c r="A93" s="53" t="inlineStr">
        <is>
          <t>06 🐉 Capstone + Docker + CI/CD</t>
        </is>
      </c>
      <c r="B93" s="54" t="n">
        <v>5</v>
      </c>
      <c r="C93" s="53" t="inlineStr">
        <is>
          <t>Dashboard with charts (Recharts/Chart.js)</t>
        </is>
      </c>
      <c r="D93" s="53" t="n"/>
      <c r="E93" s="55" t="n">
        <v>4.1</v>
      </c>
      <c r="F93" s="56" t="n"/>
      <c r="G93" s="56" t="n"/>
      <c r="H93" s="53" t="inlineStr">
        <is>
          <t>Not started</t>
        </is>
      </c>
      <c r="I93" s="54" t="n">
        <v>0</v>
      </c>
      <c r="J93" s="56" t="n"/>
      <c r="K93" s="53" t="n"/>
    </row>
    <row r="94">
      <c r="A94" s="53" t="inlineStr">
        <is>
          <t>06 🐉 Capstone + Docker + CI/CD</t>
        </is>
      </c>
      <c r="B94" s="54" t="n">
        <v>6</v>
      </c>
      <c r="C94" s="53" t="inlineStr">
        <is>
          <t>File upload or image handling</t>
        </is>
      </c>
      <c r="D94" s="53" t="n"/>
      <c r="E94" s="55" t="n">
        <v>4.1</v>
      </c>
      <c r="F94" s="56" t="n"/>
      <c r="G94" s="56" t="n"/>
      <c r="H94" s="53" t="inlineStr">
        <is>
          <t>Not started</t>
        </is>
      </c>
      <c r="I94" s="54" t="n">
        <v>0</v>
      </c>
      <c r="J94" s="56" t="n"/>
      <c r="K94" s="53" t="n"/>
    </row>
    <row r="95">
      <c r="A95" s="53" t="inlineStr">
        <is>
          <t>06 🐉 Capstone + Docker + CI/CD</t>
        </is>
      </c>
      <c r="B95" s="54" t="n">
        <v>7</v>
      </c>
      <c r="C95" s="53" t="inlineStr">
        <is>
          <t>Pagination or infinite scroll</t>
        </is>
      </c>
      <c r="D95" s="53" t="n"/>
      <c r="E95" s="55" t="n">
        <v>4.1</v>
      </c>
      <c r="F95" s="56" t="n"/>
      <c r="G95" s="56" t="n"/>
      <c r="H95" s="53" t="inlineStr">
        <is>
          <t>Not started</t>
        </is>
      </c>
      <c r="I95" s="54" t="n">
        <v>0</v>
      </c>
      <c r="J95" s="56" t="n"/>
      <c r="K95" s="53" t="n"/>
    </row>
    <row r="96">
      <c r="A96" s="53" t="inlineStr">
        <is>
          <t>06 🐉 Capstone + Docker + CI/CD</t>
        </is>
      </c>
      <c r="B96" s="54" t="n">
        <v>8</v>
      </c>
      <c r="C96" s="53" t="inlineStr">
        <is>
          <t>Error boundaries + loading skeletons</t>
        </is>
      </c>
      <c r="D96" s="53" t="n"/>
      <c r="E96" s="55" t="n">
        <v>4.1</v>
      </c>
      <c r="F96" s="56" t="n"/>
      <c r="G96" s="56" t="n"/>
      <c r="H96" s="53" t="inlineStr">
        <is>
          <t>Not started</t>
        </is>
      </c>
      <c r="I96" s="54" t="n">
        <v>0</v>
      </c>
      <c r="J96" s="56" t="n"/>
      <c r="K96" s="53" t="n"/>
    </row>
    <row r="97">
      <c r="A97" s="53" t="inlineStr">
        <is>
          <t>06 🐉 Capstone + Docker + CI/CD</t>
        </is>
      </c>
      <c r="B97" s="54" t="n">
        <v>9</v>
      </c>
      <c r="C97" s="53" t="inlineStr">
        <is>
          <t>Responsive + accessible UI (keyboard, contrast)</t>
        </is>
      </c>
      <c r="D97" s="53" t="n"/>
      <c r="E97" s="55" t="n">
        <v>4.1</v>
      </c>
      <c r="F97" s="56" t="n"/>
      <c r="G97" s="56" t="n"/>
      <c r="H97" s="53" t="inlineStr">
        <is>
          <t>Not started</t>
        </is>
      </c>
      <c r="I97" s="54" t="n">
        <v>0</v>
      </c>
      <c r="J97" s="56" t="n"/>
      <c r="K97" s="53" t="n"/>
    </row>
    <row r="98">
      <c r="A98" s="53" t="inlineStr">
        <is>
          <t>06 🐉 Capstone + Docker + CI/CD</t>
        </is>
      </c>
      <c r="B98" s="54" t="n">
        <v>10</v>
      </c>
      <c r="C98" s="53" t="inlineStr">
        <is>
          <t>Dockerfile for backend + docker-compose (app + db)</t>
        </is>
      </c>
      <c r="D98" s="53" t="n"/>
      <c r="E98" s="55" t="n">
        <v>4.1</v>
      </c>
      <c r="F98" s="56" t="n"/>
      <c r="G98" s="56" t="n"/>
      <c r="H98" s="53" t="inlineStr">
        <is>
          <t>Not started</t>
        </is>
      </c>
      <c r="I98" s="54" t="n">
        <v>0</v>
      </c>
      <c r="J98" s="56" t="n"/>
      <c r="K98" s="53" t="n"/>
    </row>
    <row r="99">
      <c r="A99" s="53" t="inlineStr">
        <is>
          <t>06 🐉 Capstone + Docker + CI/CD</t>
        </is>
      </c>
      <c r="B99" s="54" t="n">
        <v>11</v>
      </c>
      <c r="C99" s="53" t="inlineStr">
        <is>
          <t>GitHub Actions: lint + test on every push</t>
        </is>
      </c>
      <c r="D99" s="53" t="n"/>
      <c r="E99" s="55" t="n">
        <v>4.1</v>
      </c>
      <c r="F99" s="56" t="n"/>
      <c r="G99" s="56" t="n"/>
      <c r="H99" s="53" t="inlineStr">
        <is>
          <t>Not started</t>
        </is>
      </c>
      <c r="I99" s="54" t="n">
        <v>0</v>
      </c>
      <c r="J99" s="56" t="n"/>
      <c r="K99" s="53" t="n"/>
    </row>
    <row r="100">
      <c r="A100" s="53" t="inlineStr">
        <is>
          <t>06 🐉 Capstone + Docker + CI/CD</t>
        </is>
      </c>
      <c r="B100" s="54" t="n">
        <v>12</v>
      </c>
      <c r="C100" s="53" t="inlineStr">
        <is>
          <t>Deploy frontend, backend, and MongoDB Atlas</t>
        </is>
      </c>
      <c r="D100" s="53" t="n"/>
      <c r="E100" s="55" t="n">
        <v>4.1</v>
      </c>
      <c r="F100" s="56" t="n"/>
      <c r="G100" s="56" t="n"/>
      <c r="H100" s="53" t="inlineStr">
        <is>
          <t>Not started</t>
        </is>
      </c>
      <c r="I100" s="54" t="n">
        <v>0</v>
      </c>
      <c r="J100" s="56" t="n"/>
      <c r="K100" s="53" t="n"/>
    </row>
    <row r="101">
      <c r="A101" s="53" t="inlineStr">
        <is>
          <t>06 🐉 Capstone + Docker + CI/CD</t>
        </is>
      </c>
      <c r="B101" s="54" t="n">
        <v>13</v>
      </c>
      <c r="C101" s="53" t="inlineStr">
        <is>
          <t>Store secrets in env vars (never in the repo)</t>
        </is>
      </c>
      <c r="D101" s="53" t="n"/>
      <c r="E101" s="55" t="n">
        <v>4.1</v>
      </c>
      <c r="F101" s="56" t="n"/>
      <c r="G101" s="56" t="n"/>
      <c r="H101" s="53" t="inlineStr">
        <is>
          <t>Not started</t>
        </is>
      </c>
      <c r="I101" s="54" t="n">
        <v>0</v>
      </c>
      <c r="J101" s="56" t="n"/>
      <c r="K101" s="53" t="n"/>
    </row>
    <row r="102">
      <c r="A102" s="53" t="inlineStr">
        <is>
          <t>06 🐉 Capstone + Docker + CI/CD</t>
        </is>
      </c>
      <c r="B102" s="54" t="n">
        <v>14</v>
      </c>
      <c r="C102" s="53" t="inlineStr">
        <is>
          <t>Seed demo data + a demo login account</t>
        </is>
      </c>
      <c r="D102" s="53" t="n"/>
      <c r="E102" s="55" t="n">
        <v>4.1</v>
      </c>
      <c r="F102" s="56" t="n"/>
      <c r="G102" s="56" t="n"/>
      <c r="H102" s="53" t="inlineStr">
        <is>
          <t>Not started</t>
        </is>
      </c>
      <c r="I102" s="54" t="n">
        <v>0</v>
      </c>
      <c r="J102" s="56" t="n"/>
      <c r="K102" s="53" t="n"/>
    </row>
    <row r="103">
      <c r="A103" s="53" t="inlineStr">
        <is>
          <t>06 🐉 Capstone + Docker + CI/CD</t>
        </is>
      </c>
      <c r="B103" s="54" t="n">
        <v>15</v>
      </c>
      <c r="C103" s="53" t="inlineStr">
        <is>
          <t>README: screenshots, architecture diagram, setup steps</t>
        </is>
      </c>
      <c r="D103" s="53" t="n"/>
      <c r="E103" s="55" t="n">
        <v>4.1</v>
      </c>
      <c r="F103" s="56" t="n"/>
      <c r="G103" s="56" t="n"/>
      <c r="H103" s="53" t="inlineStr">
        <is>
          <t>Not started</t>
        </is>
      </c>
      <c r="I103" s="54" t="n">
        <v>0</v>
      </c>
      <c r="J103" s="56" t="n"/>
      <c r="K103" s="53" t="n"/>
    </row>
    <row r="104">
      <c r="A104" s="53" t="inlineStr">
        <is>
          <t>06 🐉 Capstone + Docker + CI/CD</t>
        </is>
      </c>
      <c r="B104" s="54" t="n">
        <v>16</v>
      </c>
      <c r="C104" s="53" t="inlineStr">
        <is>
          <t>Record a 3-minute demo video (Loom or YouTube)</t>
        </is>
      </c>
      <c r="D104" s="53" t="n"/>
      <c r="E104" s="55" t="n">
        <v>4.1</v>
      </c>
      <c r="F104" s="56" t="n"/>
      <c r="G104" s="56" t="n"/>
      <c r="H104" s="53" t="inlineStr">
        <is>
          <t>Not started</t>
        </is>
      </c>
      <c r="I104" s="54" t="n">
        <v>0</v>
      </c>
      <c r="J104" s="56" t="n"/>
      <c r="K104" s="53" t="n"/>
    </row>
    <row r="105">
      <c r="A105" s="53" t="inlineStr">
        <is>
          <t>06 🐉 Capstone + Docker + CI/CD</t>
        </is>
      </c>
      <c r="B105" s="54" t="n">
        <v>17</v>
      </c>
      <c r="C105" s="53" t="inlineStr">
        <is>
          <t>Alternate capstone: 'Kerala IT Job Market Analyser' (Python scraper + pandas + Power BI + React dashboard)</t>
        </is>
      </c>
      <c r="D105" s="53" t="n"/>
      <c r="E105" s="55" t="n">
        <v>4.1</v>
      </c>
      <c r="F105" s="56" t="n"/>
      <c r="G105" s="56" t="n"/>
      <c r="H105" s="53" t="inlineStr">
        <is>
          <t>Not started</t>
        </is>
      </c>
      <c r="I105" s="54" t="n">
        <v>0</v>
      </c>
      <c r="J105" s="56" t="n"/>
      <c r="K105" s="53" t="n"/>
    </row>
    <row r="106">
      <c r="A106" s="57" t="inlineStr">
        <is>
          <t>07 🗡️ DSA &amp; Problem Solving</t>
        </is>
      </c>
      <c r="B106" s="58" t="n">
        <v>1</v>
      </c>
      <c r="C106" s="57" t="inlineStr">
        <is>
          <t>Arrays &amp; running sum</t>
        </is>
      </c>
      <c r="D106" s="57" t="inlineStr">
        <is>
          <t>takeUforward — Striver's A2Z DSA Sheet &amp; Course</t>
        </is>
      </c>
      <c r="E106" s="59" t="n">
        <v>2</v>
      </c>
      <c r="F106" s="60" t="n"/>
      <c r="G106" s="60" t="n"/>
      <c r="H106" s="57" t="inlineStr">
        <is>
          <t>Not started</t>
        </is>
      </c>
      <c r="I106" s="58" t="n">
        <v>0</v>
      </c>
      <c r="J106" s="60" t="n"/>
      <c r="K106" s="57" t="n"/>
    </row>
    <row r="107">
      <c r="A107" s="57" t="inlineStr">
        <is>
          <t>07 🗡️ DSA &amp; Problem Solving</t>
        </is>
      </c>
      <c r="B107" s="58" t="n">
        <v>2</v>
      </c>
      <c r="C107" s="57" t="inlineStr">
        <is>
          <t>Strings &amp; frequency counting</t>
        </is>
      </c>
      <c r="D107" s="57" t="n"/>
      <c r="E107" s="59" t="n">
        <v>2</v>
      </c>
      <c r="F107" s="60" t="n"/>
      <c r="G107" s="60" t="n"/>
      <c r="H107" s="57" t="inlineStr">
        <is>
          <t>Not started</t>
        </is>
      </c>
      <c r="I107" s="58" t="n">
        <v>0</v>
      </c>
      <c r="J107" s="60" t="n"/>
      <c r="K107" s="57" t="n"/>
    </row>
    <row r="108">
      <c r="A108" s="57" t="inlineStr">
        <is>
          <t>07 🗡️ DSA &amp; Problem Solving</t>
        </is>
      </c>
      <c r="B108" s="58" t="n">
        <v>3</v>
      </c>
      <c r="C108" s="57" t="inlineStr">
        <is>
          <t>Hashing (maps/sets) patterns</t>
        </is>
      </c>
      <c r="D108" s="57" t="n"/>
      <c r="E108" s="59" t="n">
        <v>2</v>
      </c>
      <c r="F108" s="60" t="n"/>
      <c r="G108" s="60" t="n"/>
      <c r="H108" s="57" t="inlineStr">
        <is>
          <t>Not started</t>
        </is>
      </c>
      <c r="I108" s="58" t="n">
        <v>0</v>
      </c>
      <c r="J108" s="60" t="n"/>
      <c r="K108" s="57" t="n"/>
    </row>
    <row r="109">
      <c r="A109" s="57" t="inlineStr">
        <is>
          <t>07 🗡️ DSA &amp; Problem Solving</t>
        </is>
      </c>
      <c r="B109" s="58" t="n">
        <v>4</v>
      </c>
      <c r="C109" s="57" t="inlineStr">
        <is>
          <t>Two pointers</t>
        </is>
      </c>
      <c r="D109" s="57" t="n"/>
      <c r="E109" s="59" t="n">
        <v>2</v>
      </c>
      <c r="F109" s="60" t="n"/>
      <c r="G109" s="60" t="n"/>
      <c r="H109" s="57" t="inlineStr">
        <is>
          <t>Not started</t>
        </is>
      </c>
      <c r="I109" s="58" t="n">
        <v>0</v>
      </c>
      <c r="J109" s="60" t="n"/>
      <c r="K109" s="57" t="n"/>
    </row>
    <row r="110">
      <c r="A110" s="57" t="inlineStr">
        <is>
          <t>07 🗡️ DSA &amp; Problem Solving</t>
        </is>
      </c>
      <c r="B110" s="58" t="n">
        <v>5</v>
      </c>
      <c r="C110" s="57" t="inlineStr">
        <is>
          <t>Sliding window</t>
        </is>
      </c>
      <c r="D110" s="57" t="n"/>
      <c r="E110" s="59" t="n">
        <v>2</v>
      </c>
      <c r="F110" s="60" t="n"/>
      <c r="G110" s="60" t="n"/>
      <c r="H110" s="57" t="inlineStr">
        <is>
          <t>Not started</t>
        </is>
      </c>
      <c r="I110" s="58" t="n">
        <v>0</v>
      </c>
      <c r="J110" s="60" t="n"/>
      <c r="K110" s="57" t="n"/>
    </row>
    <row r="111">
      <c r="A111" s="57" t="inlineStr">
        <is>
          <t>07 🗡️ DSA &amp; Problem Solving</t>
        </is>
      </c>
      <c r="B111" s="58" t="n">
        <v>6</v>
      </c>
      <c r="C111" s="57" t="inlineStr">
        <is>
          <t>Prefix sum</t>
        </is>
      </c>
      <c r="D111" s="57" t="n"/>
      <c r="E111" s="59" t="n">
        <v>2</v>
      </c>
      <c r="F111" s="60" t="n"/>
      <c r="G111" s="60" t="n"/>
      <c r="H111" s="57" t="inlineStr">
        <is>
          <t>Not started</t>
        </is>
      </c>
      <c r="I111" s="58" t="n">
        <v>0</v>
      </c>
      <c r="J111" s="60" t="n"/>
      <c r="K111" s="57" t="n"/>
    </row>
    <row r="112">
      <c r="A112" s="57" t="inlineStr">
        <is>
          <t>07 🗡️ DSA &amp; Problem Solving</t>
        </is>
      </c>
      <c r="B112" s="58" t="n">
        <v>7</v>
      </c>
      <c r="C112" s="57" t="inlineStr">
        <is>
          <t>Stack (valid parentheses, next greater element)</t>
        </is>
      </c>
      <c r="D112" s="57" t="n"/>
      <c r="E112" s="59" t="n">
        <v>2</v>
      </c>
      <c r="F112" s="60" t="n"/>
      <c r="G112" s="60" t="n"/>
      <c r="H112" s="57" t="inlineStr">
        <is>
          <t>Not started</t>
        </is>
      </c>
      <c r="I112" s="58" t="n">
        <v>0</v>
      </c>
      <c r="J112" s="60" t="n"/>
      <c r="K112" s="57" t="n"/>
    </row>
    <row r="113">
      <c r="A113" s="57" t="inlineStr">
        <is>
          <t>07 🗡️ DSA &amp; Problem Solving</t>
        </is>
      </c>
      <c r="B113" s="58" t="n">
        <v>8</v>
      </c>
      <c r="C113" s="57" t="inlineStr">
        <is>
          <t>Queue &amp; deque basics</t>
        </is>
      </c>
      <c r="D113" s="57" t="n"/>
      <c r="E113" s="59" t="n">
        <v>2</v>
      </c>
      <c r="F113" s="60" t="n"/>
      <c r="G113" s="60" t="n"/>
      <c r="H113" s="57" t="inlineStr">
        <is>
          <t>Not started</t>
        </is>
      </c>
      <c r="I113" s="58" t="n">
        <v>0</v>
      </c>
      <c r="J113" s="60" t="n"/>
      <c r="K113" s="57" t="n"/>
    </row>
    <row r="114">
      <c r="A114" s="57" t="inlineStr">
        <is>
          <t>07 🗡️ DSA &amp; Problem Solving</t>
        </is>
      </c>
      <c r="B114" s="58" t="n">
        <v>9</v>
      </c>
      <c r="C114" s="57" t="inlineStr">
        <is>
          <t>Linked list (reverse, middle, cycle)</t>
        </is>
      </c>
      <c r="D114" s="57" t="n"/>
      <c r="E114" s="59" t="n">
        <v>2</v>
      </c>
      <c r="F114" s="60" t="n"/>
      <c r="G114" s="60" t="n"/>
      <c r="H114" s="57" t="inlineStr">
        <is>
          <t>Not started</t>
        </is>
      </c>
      <c r="I114" s="58" t="n">
        <v>0</v>
      </c>
      <c r="J114" s="60" t="n"/>
      <c r="K114" s="57" t="n"/>
    </row>
    <row r="115">
      <c r="A115" s="57" t="inlineStr">
        <is>
          <t>07 🗡️ DSA &amp; Problem Solving</t>
        </is>
      </c>
      <c r="B115" s="58" t="n">
        <v>10</v>
      </c>
      <c r="C115" s="57" t="inlineStr">
        <is>
          <t>Binary search (and binary search on answer)</t>
        </is>
      </c>
      <c r="D115" s="57" t="n"/>
      <c r="E115" s="59" t="n">
        <v>2</v>
      </c>
      <c r="F115" s="60" t="n"/>
      <c r="G115" s="60" t="n"/>
      <c r="H115" s="57" t="inlineStr">
        <is>
          <t>Not started</t>
        </is>
      </c>
      <c r="I115" s="58" t="n">
        <v>0</v>
      </c>
      <c r="J115" s="60" t="n"/>
      <c r="K115" s="57" t="n"/>
    </row>
    <row r="116">
      <c r="A116" s="57" t="inlineStr">
        <is>
          <t>07 🗡️ DSA &amp; Problem Solving</t>
        </is>
      </c>
      <c r="B116" s="58" t="n">
        <v>11</v>
      </c>
      <c r="C116" s="57" t="inlineStr">
        <is>
          <t>Sorting: bubble/selection/insertion + merge/quick idea</t>
        </is>
      </c>
      <c r="D116" s="57" t="n"/>
      <c r="E116" s="59" t="n">
        <v>2</v>
      </c>
      <c r="F116" s="60" t="n"/>
      <c r="G116" s="60" t="n"/>
      <c r="H116" s="57" t="inlineStr">
        <is>
          <t>Not started</t>
        </is>
      </c>
      <c r="I116" s="58" t="n">
        <v>0</v>
      </c>
      <c r="J116" s="60" t="n"/>
      <c r="K116" s="57" t="n"/>
    </row>
    <row r="117">
      <c r="A117" s="57" t="inlineStr">
        <is>
          <t>07 🗡️ DSA &amp; Problem Solving</t>
        </is>
      </c>
      <c r="B117" s="58" t="n">
        <v>12</v>
      </c>
      <c r="C117" s="57" t="inlineStr">
        <is>
          <t>Recursion &amp; backtracking basics</t>
        </is>
      </c>
      <c r="D117" s="57" t="n"/>
      <c r="E117" s="59" t="n">
        <v>2</v>
      </c>
      <c r="F117" s="60" t="n"/>
      <c r="G117" s="60" t="n"/>
      <c r="H117" s="57" t="inlineStr">
        <is>
          <t>Not started</t>
        </is>
      </c>
      <c r="I117" s="58" t="n">
        <v>0</v>
      </c>
      <c r="J117" s="60" t="n"/>
      <c r="K117" s="57" t="n"/>
    </row>
    <row r="118">
      <c r="A118" s="57" t="inlineStr">
        <is>
          <t>07 🗡️ DSA &amp; Problem Solving</t>
        </is>
      </c>
      <c r="B118" s="58" t="n">
        <v>13</v>
      </c>
      <c r="C118" s="57" t="inlineStr">
        <is>
          <t>Trees: traversals, height, diameter</t>
        </is>
      </c>
      <c r="D118" s="57" t="n"/>
      <c r="E118" s="59" t="n">
        <v>2</v>
      </c>
      <c r="F118" s="60" t="n"/>
      <c r="G118" s="60" t="n"/>
      <c r="H118" s="57" t="inlineStr">
        <is>
          <t>Not started</t>
        </is>
      </c>
      <c r="I118" s="58" t="n">
        <v>0</v>
      </c>
      <c r="J118" s="60" t="n"/>
      <c r="K118" s="57" t="n"/>
    </row>
    <row r="119">
      <c r="A119" s="57" t="inlineStr">
        <is>
          <t>07 🗡️ DSA &amp; Problem Solving</t>
        </is>
      </c>
      <c r="B119" s="58" t="n">
        <v>14</v>
      </c>
      <c r="C119" s="57" t="inlineStr">
        <is>
          <t>BST basics</t>
        </is>
      </c>
      <c r="D119" s="57" t="n"/>
      <c r="E119" s="59" t="n">
        <v>2</v>
      </c>
      <c r="F119" s="60" t="n"/>
      <c r="G119" s="60" t="n"/>
      <c r="H119" s="57" t="inlineStr">
        <is>
          <t>Not started</t>
        </is>
      </c>
      <c r="I119" s="58" t="n">
        <v>0</v>
      </c>
      <c r="J119" s="60" t="n"/>
      <c r="K119" s="57" t="n"/>
    </row>
    <row r="120">
      <c r="A120" s="57" t="inlineStr">
        <is>
          <t>07 🗡️ DSA &amp; Problem Solving</t>
        </is>
      </c>
      <c r="B120" s="58" t="n">
        <v>15</v>
      </c>
      <c r="C120" s="57" t="inlineStr">
        <is>
          <t>Heaps / priority queue basics</t>
        </is>
      </c>
      <c r="D120" s="57" t="n"/>
      <c r="E120" s="59" t="n">
        <v>2</v>
      </c>
      <c r="F120" s="60" t="n"/>
      <c r="G120" s="60" t="n"/>
      <c r="H120" s="57" t="inlineStr">
        <is>
          <t>Not started</t>
        </is>
      </c>
      <c r="I120" s="58" t="n">
        <v>0</v>
      </c>
      <c r="J120" s="60" t="n"/>
      <c r="K120" s="57" t="n"/>
    </row>
    <row r="121">
      <c r="A121" s="57" t="inlineStr">
        <is>
          <t>07 🗡️ DSA &amp; Problem Solving</t>
        </is>
      </c>
      <c r="B121" s="58" t="n">
        <v>16</v>
      </c>
      <c r="C121" s="57" t="inlineStr">
        <is>
          <t>Graphs: BFS, DFS, connected components</t>
        </is>
      </c>
      <c r="D121" s="57" t="n"/>
      <c r="E121" s="59" t="n">
        <v>2</v>
      </c>
      <c r="F121" s="60" t="n"/>
      <c r="G121" s="60" t="n"/>
      <c r="H121" s="57" t="inlineStr">
        <is>
          <t>Not started</t>
        </is>
      </c>
      <c r="I121" s="58" t="n">
        <v>0</v>
      </c>
      <c r="J121" s="60" t="n"/>
      <c r="K121" s="57" t="n"/>
    </row>
    <row r="122">
      <c r="A122" s="57" t="inlineStr">
        <is>
          <t>07 🗡️ DSA &amp; Problem Solving</t>
        </is>
      </c>
      <c r="B122" s="58" t="n">
        <v>17</v>
      </c>
      <c r="C122" s="57" t="inlineStr">
        <is>
          <t>Greedy basics</t>
        </is>
      </c>
      <c r="D122" s="57" t="n"/>
      <c r="E122" s="59" t="n">
        <v>2</v>
      </c>
      <c r="F122" s="60" t="n"/>
      <c r="G122" s="60" t="n"/>
      <c r="H122" s="57" t="inlineStr">
        <is>
          <t>Not started</t>
        </is>
      </c>
      <c r="I122" s="58" t="n">
        <v>0</v>
      </c>
      <c r="J122" s="60" t="n"/>
      <c r="K122" s="57" t="n"/>
    </row>
    <row r="123">
      <c r="A123" s="57" t="inlineStr">
        <is>
          <t>07 🗡️ DSA &amp; Problem Solving</t>
        </is>
      </c>
      <c r="B123" s="58" t="n">
        <v>18</v>
      </c>
      <c r="C123" s="57" t="inlineStr">
        <is>
          <t>Dynamic programming intro (climbing stairs, knapsack)</t>
        </is>
      </c>
      <c r="D123" s="57" t="n"/>
      <c r="E123" s="59" t="n">
        <v>2</v>
      </c>
      <c r="F123" s="60" t="n"/>
      <c r="G123" s="60" t="n"/>
      <c r="H123" s="57" t="inlineStr">
        <is>
          <t>Not started</t>
        </is>
      </c>
      <c r="I123" s="58" t="n">
        <v>0</v>
      </c>
      <c r="J123" s="60" t="n"/>
      <c r="K123" s="57" t="n"/>
    </row>
    <row r="124">
      <c r="A124" s="57" t="inlineStr">
        <is>
          <t>07 🗡️ DSA &amp; Problem Solving</t>
        </is>
      </c>
      <c r="B124" s="58" t="n">
        <v>19</v>
      </c>
      <c r="C124" s="57" t="inlineStr">
        <is>
          <t>Bit manipulation basics</t>
        </is>
      </c>
      <c r="D124" s="57" t="n"/>
      <c r="E124" s="59" t="n">
        <v>2</v>
      </c>
      <c r="F124" s="60" t="n"/>
      <c r="G124" s="60" t="n"/>
      <c r="H124" s="57" t="inlineStr">
        <is>
          <t>Not started</t>
        </is>
      </c>
      <c r="I124" s="58" t="n">
        <v>0</v>
      </c>
      <c r="J124" s="60" t="n"/>
      <c r="K124" s="57" t="n"/>
    </row>
    <row r="125">
      <c r="A125" s="57" t="inlineStr">
        <is>
          <t>07 🗡️ DSA &amp; Problem Solving</t>
        </is>
      </c>
      <c r="B125" s="58" t="n">
        <v>20</v>
      </c>
      <c r="C125" s="57" t="inlineStr">
        <is>
          <t>150 total problems + 2 timed mocks</t>
        </is>
      </c>
      <c r="D125" s="57" t="n"/>
      <c r="E125" s="59" t="n">
        <v>2</v>
      </c>
      <c r="F125" s="60" t="n"/>
      <c r="G125" s="60" t="n"/>
      <c r="H125" s="57" t="inlineStr">
        <is>
          <t>Not started</t>
        </is>
      </c>
      <c r="I125" s="58" t="n">
        <v>0</v>
      </c>
      <c r="J125" s="60" t="n"/>
      <c r="K125" s="57" t="n"/>
    </row>
    <row r="126">
      <c r="A126" s="61" t="inlineStr">
        <is>
          <t>08 📊 Power BI + Analytics</t>
        </is>
      </c>
      <c r="B126" s="62" t="n">
        <v>1</v>
      </c>
      <c r="C126" s="61" t="inlineStr">
        <is>
          <t>Install Power BI Desktop (Windows)</t>
        </is>
      </c>
      <c r="D126" s="61" t="inlineStr">
        <is>
          <t>codebasics — Power BI Project for Beginners (Sales Insights)</t>
        </is>
      </c>
      <c r="E126" s="63" t="n">
        <v>3</v>
      </c>
      <c r="F126" s="64" t="n"/>
      <c r="G126" s="64" t="n"/>
      <c r="H126" s="61" t="inlineStr">
        <is>
          <t>Not started</t>
        </is>
      </c>
      <c r="I126" s="62" t="n">
        <v>0</v>
      </c>
      <c r="J126" s="64" t="n"/>
      <c r="K126" s="61" t="n"/>
    </row>
    <row r="127">
      <c r="A127" s="61" t="inlineStr">
        <is>
          <t>08 📊 Power BI + Analytics</t>
        </is>
      </c>
      <c r="B127" s="62" t="n">
        <v>2</v>
      </c>
      <c r="C127" s="61" t="inlineStr">
        <is>
          <t>Connect MySQL / CSV / Excel data</t>
        </is>
      </c>
      <c r="D127" s="61" t="n"/>
      <c r="E127" s="63" t="n">
        <v>3</v>
      </c>
      <c r="F127" s="64" t="n"/>
      <c r="G127" s="64" t="n"/>
      <c r="H127" s="61" t="inlineStr">
        <is>
          <t>Not started</t>
        </is>
      </c>
      <c r="I127" s="62" t="n">
        <v>0</v>
      </c>
      <c r="J127" s="64" t="n"/>
      <c r="K127" s="61" t="n"/>
    </row>
    <row r="128">
      <c r="A128" s="61" t="inlineStr">
        <is>
          <t>08 📊 Power BI + Analytics</t>
        </is>
      </c>
      <c r="B128" s="62" t="n">
        <v>3</v>
      </c>
      <c r="C128" s="61" t="inlineStr">
        <is>
          <t>Power Query: clean, split, merge, pivot</t>
        </is>
      </c>
      <c r="D128" s="61" t="n"/>
      <c r="E128" s="63" t="n">
        <v>3</v>
      </c>
      <c r="F128" s="64" t="n"/>
      <c r="G128" s="64" t="n"/>
      <c r="H128" s="61" t="inlineStr">
        <is>
          <t>Not started</t>
        </is>
      </c>
      <c r="I128" s="62" t="n">
        <v>0</v>
      </c>
      <c r="J128" s="64" t="n"/>
      <c r="K128" s="61" t="n"/>
    </row>
    <row r="129">
      <c r="A129" s="61" t="inlineStr">
        <is>
          <t>08 📊 Power BI + Analytics</t>
        </is>
      </c>
      <c r="B129" s="62" t="n">
        <v>4</v>
      </c>
      <c r="C129" s="61" t="inlineStr">
        <is>
          <t>Data model + relationships (star schema)</t>
        </is>
      </c>
      <c r="D129" s="61" t="n"/>
      <c r="E129" s="63" t="n">
        <v>3</v>
      </c>
      <c r="F129" s="64" t="n"/>
      <c r="G129" s="64" t="n"/>
      <c r="H129" s="61" t="inlineStr">
        <is>
          <t>Not started</t>
        </is>
      </c>
      <c r="I129" s="62" t="n">
        <v>0</v>
      </c>
      <c r="J129" s="64" t="n"/>
      <c r="K129" s="61" t="n"/>
    </row>
    <row r="130">
      <c r="A130" s="61" t="inlineStr">
        <is>
          <t>08 📊 Power BI + Analytics</t>
        </is>
      </c>
      <c r="B130" s="62" t="n">
        <v>5</v>
      </c>
      <c r="C130" s="61" t="inlineStr">
        <is>
          <t>DAX basics: SUMX, CALCULATE, time intelligence</t>
        </is>
      </c>
      <c r="D130" s="61" t="n"/>
      <c r="E130" s="63" t="n">
        <v>3</v>
      </c>
      <c r="F130" s="64" t="n"/>
      <c r="G130" s="64" t="n"/>
      <c r="H130" s="61" t="inlineStr">
        <is>
          <t>Not started</t>
        </is>
      </c>
      <c r="I130" s="62" t="n">
        <v>0</v>
      </c>
      <c r="J130" s="64" t="n"/>
      <c r="K130" s="61" t="n"/>
    </row>
    <row r="131">
      <c r="A131" s="61" t="inlineStr">
        <is>
          <t>08 📊 Power BI + Analytics</t>
        </is>
      </c>
      <c r="B131" s="62" t="n">
        <v>6</v>
      </c>
      <c r="C131" s="61" t="inlineStr">
        <is>
          <t>6 visuals + slicers + drill-through</t>
        </is>
      </c>
      <c r="D131" s="61" t="n"/>
      <c r="E131" s="63" t="n">
        <v>3</v>
      </c>
      <c r="F131" s="64" t="n"/>
      <c r="G131" s="64" t="n"/>
      <c r="H131" s="61" t="inlineStr">
        <is>
          <t>Not started</t>
        </is>
      </c>
      <c r="I131" s="62" t="n">
        <v>0</v>
      </c>
      <c r="J131" s="64" t="n"/>
      <c r="K131" s="61" t="n"/>
    </row>
    <row r="132">
      <c r="A132" s="61" t="inlineStr">
        <is>
          <t>08 📊 Power BI + Analytics</t>
        </is>
      </c>
      <c r="B132" s="62" t="n">
        <v>7</v>
      </c>
      <c r="C132" s="61" t="inlineStr">
        <is>
          <t>Publish to Power BI Service + shareable link</t>
        </is>
      </c>
      <c r="D132" s="61" t="n"/>
      <c r="E132" s="63" t="n">
        <v>3</v>
      </c>
      <c r="F132" s="64" t="n"/>
      <c r="G132" s="64" t="n"/>
      <c r="H132" s="61" t="inlineStr">
        <is>
          <t>Not started</t>
        </is>
      </c>
      <c r="I132" s="62" t="n">
        <v>0</v>
      </c>
      <c r="J132" s="64" t="n"/>
      <c r="K132" s="61" t="n"/>
    </row>
    <row r="133">
      <c r="A133" s="61" t="inlineStr">
        <is>
          <t>08 📊 Power BI + Analytics</t>
        </is>
      </c>
      <c r="B133" s="62" t="n">
        <v>8</v>
      </c>
      <c r="C133" s="61" t="inlineStr">
        <is>
          <t>Build a dashboard on your own dataset</t>
        </is>
      </c>
      <c r="D133" s="61" t="n"/>
      <c r="E133" s="63" t="n">
        <v>3</v>
      </c>
      <c r="F133" s="64" t="n"/>
      <c r="G133" s="64" t="n"/>
      <c r="H133" s="61" t="inlineStr">
        <is>
          <t>Not started</t>
        </is>
      </c>
      <c r="I133" s="62" t="n">
        <v>0</v>
      </c>
      <c r="J133" s="64" t="n"/>
      <c r="K133" s="61" t="n"/>
    </row>
    <row r="134">
      <c r="A134" s="61" t="inlineStr">
        <is>
          <t>08 📊 Power BI + Analytics</t>
        </is>
      </c>
      <c r="B134" s="62" t="n">
        <v>9</v>
      </c>
      <c r="C134" s="61" t="inlineStr">
        <is>
          <t>Add a screenshot + insight to your portfolio</t>
        </is>
      </c>
      <c r="D134" s="61" t="n"/>
      <c r="E134" s="63" t="n">
        <v>3</v>
      </c>
      <c r="F134" s="64" t="n"/>
      <c r="G134" s="64" t="n"/>
      <c r="H134" s="61" t="inlineStr">
        <is>
          <t>Not started</t>
        </is>
      </c>
      <c r="I134" s="62" t="n">
        <v>0</v>
      </c>
      <c r="J134" s="64" t="n"/>
      <c r="K134" s="61" t="n"/>
    </row>
    <row r="135">
      <c r="A135" s="61" t="inlineStr">
        <is>
          <t>08 📊 Power BI + Analytics</t>
        </is>
      </c>
      <c r="B135" s="62" t="n">
        <v>10</v>
      </c>
      <c r="C135" s="61" t="inlineStr">
        <is>
          <t>Optional: attempt Microsoft PL-300</t>
        </is>
      </c>
      <c r="D135" s="61" t="n"/>
      <c r="E135" s="63" t="n">
        <v>3</v>
      </c>
      <c r="F135" s="64" t="n"/>
      <c r="G135" s="64" t="n"/>
      <c r="H135" s="61" t="inlineStr">
        <is>
          <t>Not started</t>
        </is>
      </c>
      <c r="I135" s="62" t="n">
        <v>0</v>
      </c>
      <c r="J135" s="64" t="n"/>
      <c r="K135" s="61" t="n"/>
    </row>
    <row r="136">
      <c r="A136" s="65" t="inlineStr">
        <is>
          <t>09 🏁 Portfolio, Resume &amp; Offers</t>
        </is>
      </c>
      <c r="B136" s="66" t="n">
        <v>1</v>
      </c>
      <c r="C136" s="65" t="inlineStr">
        <is>
          <t>One-page ATS resume: projects written like experience</t>
        </is>
      </c>
      <c r="D136" s="65" t="inlineStr">
        <is>
          <t>GitHub · donnemartin — System Design Primer</t>
        </is>
      </c>
      <c r="E136" s="67" t="n">
        <v>6.2</v>
      </c>
      <c r="F136" s="68" t="n"/>
      <c r="G136" s="68" t="n"/>
      <c r="H136" s="65" t="inlineStr">
        <is>
          <t>Not started</t>
        </is>
      </c>
      <c r="I136" s="66" t="n">
        <v>0</v>
      </c>
      <c r="J136" s="68" t="n"/>
      <c r="K136" s="65" t="n"/>
    </row>
    <row r="137">
      <c r="A137" s="65" t="inlineStr">
        <is>
          <t>09 🏁 Portfolio, Resume &amp; Offers</t>
        </is>
      </c>
      <c r="B137" s="66" t="n">
        <v>2</v>
      </c>
      <c r="C137" s="65" t="inlineStr">
        <is>
          <t>Add numbers: users, endpoints, load time, test coverage</t>
        </is>
      </c>
      <c r="D137" s="65" t="n"/>
      <c r="E137" s="67" t="n">
        <v>6.2</v>
      </c>
      <c r="F137" s="68" t="n"/>
      <c r="G137" s="68" t="n"/>
      <c r="H137" s="65" t="inlineStr">
        <is>
          <t>Not started</t>
        </is>
      </c>
      <c r="I137" s="66" t="n">
        <v>0</v>
      </c>
      <c r="J137" s="68" t="n"/>
      <c r="K137" s="65" t="n"/>
    </row>
    <row r="138">
      <c r="A138" s="65" t="inlineStr">
        <is>
          <t>09 🏁 Portfolio, Resume &amp; Offers</t>
        </is>
      </c>
      <c r="B138" s="66" t="n">
        <v>3</v>
      </c>
      <c r="C138" s="65" t="inlineStr">
        <is>
          <t>LinkedIn headline + About + featured projects</t>
        </is>
      </c>
      <c r="D138" s="65" t="n"/>
      <c r="E138" s="67" t="n">
        <v>6.2</v>
      </c>
      <c r="F138" s="68" t="n"/>
      <c r="G138" s="68" t="n"/>
      <c r="H138" s="65" t="inlineStr">
        <is>
          <t>Not started</t>
        </is>
      </c>
      <c r="I138" s="66" t="n">
        <v>0</v>
      </c>
      <c r="J138" s="68" t="n"/>
      <c r="K138" s="65" t="n"/>
    </row>
    <row r="139">
      <c r="A139" s="65" t="inlineStr">
        <is>
          <t>09 🏁 Portfolio, Resume &amp; Offers</t>
        </is>
      </c>
      <c r="B139" s="66" t="n">
        <v>4</v>
      </c>
      <c r="C139" s="65" t="inlineStr">
        <is>
          <t>Portfolio site with 4 case studies (problem → build → result)</t>
        </is>
      </c>
      <c r="D139" s="65" t="n"/>
      <c r="E139" s="67" t="n">
        <v>6.2</v>
      </c>
      <c r="F139" s="68" t="n"/>
      <c r="G139" s="68" t="n"/>
      <c r="H139" s="65" t="inlineStr">
        <is>
          <t>Not started</t>
        </is>
      </c>
      <c r="I139" s="66" t="n">
        <v>0</v>
      </c>
      <c r="J139" s="68" t="n"/>
      <c r="K139" s="65" t="n"/>
    </row>
    <row r="140">
      <c r="A140" s="65" t="inlineStr">
        <is>
          <t>09 🏁 Portfolio, Resume &amp; Offers</t>
        </is>
      </c>
      <c r="B140" s="66" t="n">
        <v>5</v>
      </c>
      <c r="C140" s="65" t="inlineStr">
        <is>
          <t>GitHub cleanup: pinned repos, READMEs, live links, green squares</t>
        </is>
      </c>
      <c r="D140" s="65" t="n"/>
      <c r="E140" s="67" t="n">
        <v>6.2</v>
      </c>
      <c r="F140" s="68" t="n"/>
      <c r="G140" s="68" t="n"/>
      <c r="H140" s="65" t="inlineStr">
        <is>
          <t>Not started</t>
        </is>
      </c>
      <c r="I140" s="66" t="n">
        <v>0</v>
      </c>
      <c r="J140" s="68" t="n"/>
      <c r="K140" s="65" t="n"/>
    </row>
    <row r="141">
      <c r="A141" s="65" t="inlineStr">
        <is>
          <t>09 🏁 Portfolio, Resume &amp; Offers</t>
        </is>
      </c>
      <c r="B141" s="66" t="n">
        <v>6</v>
      </c>
      <c r="C141" s="65" t="inlineStr">
        <is>
          <t>30-second intro + 2-minute project story (record yourself)</t>
        </is>
      </c>
      <c r="D141" s="65" t="n"/>
      <c r="E141" s="67" t="n">
        <v>6.2</v>
      </c>
      <c r="F141" s="68" t="n"/>
      <c r="G141" s="68" t="n"/>
      <c r="H141" s="65" t="inlineStr">
        <is>
          <t>Not started</t>
        </is>
      </c>
      <c r="I141" s="66" t="n">
        <v>0</v>
      </c>
      <c r="J141" s="68" t="n"/>
      <c r="K141" s="65" t="n"/>
    </row>
    <row r="142">
      <c r="A142" s="65" t="inlineStr">
        <is>
          <t>09 🏁 Portfolio, Resume &amp; Offers</t>
        </is>
      </c>
      <c r="B142" s="66" t="n">
        <v>7</v>
      </c>
      <c r="C142" s="65" t="inlineStr">
        <is>
          <t>STAR answers for 10 HR questions</t>
        </is>
      </c>
      <c r="D142" s="65" t="n"/>
      <c r="E142" s="67" t="n">
        <v>6.2</v>
      </c>
      <c r="F142" s="68" t="n"/>
      <c r="G142" s="68" t="n"/>
      <c r="H142" s="65" t="inlineStr">
        <is>
          <t>Not started</t>
        </is>
      </c>
      <c r="I142" s="66" t="n">
        <v>0</v>
      </c>
      <c r="J142" s="68" t="n"/>
      <c r="K142" s="65" t="n"/>
    </row>
    <row r="143">
      <c r="A143" s="65" t="inlineStr">
        <is>
          <t>09 🏁 Portfolio, Resume &amp; Offers</t>
        </is>
      </c>
      <c r="B143" s="66" t="n">
        <v>8</v>
      </c>
      <c r="C143" s="65" t="inlineStr">
        <is>
          <t>12 mock interviews (peer / Pramp / Exponent)</t>
        </is>
      </c>
      <c r="D143" s="65" t="n"/>
      <c r="E143" s="67" t="n">
        <v>6.2</v>
      </c>
      <c r="F143" s="68" t="n"/>
      <c r="G143" s="68" t="n"/>
      <c r="H143" s="65" t="inlineStr">
        <is>
          <t>Not started</t>
        </is>
      </c>
      <c r="I143" s="66" t="n">
        <v>0</v>
      </c>
      <c r="J143" s="68" t="n"/>
      <c r="K143" s="65" t="n"/>
    </row>
    <row r="144">
      <c r="A144" s="65" t="inlineStr">
        <is>
          <t>09 🏁 Portfolio, Resume &amp; Offers</t>
        </is>
      </c>
      <c r="B144" s="66" t="n">
        <v>9</v>
      </c>
      <c r="C144" s="65" t="inlineStr">
        <is>
          <t>Revise JS, React, Node question banks</t>
        </is>
      </c>
      <c r="D144" s="65" t="n"/>
      <c r="E144" s="67" t="n">
        <v>6.2</v>
      </c>
      <c r="F144" s="68" t="n"/>
      <c r="G144" s="68" t="n"/>
      <c r="H144" s="65" t="inlineStr">
        <is>
          <t>Not started</t>
        </is>
      </c>
      <c r="I144" s="66" t="n">
        <v>0</v>
      </c>
      <c r="J144" s="68" t="n"/>
      <c r="K144" s="65" t="n"/>
    </row>
    <row r="145">
      <c r="A145" s="65" t="inlineStr">
        <is>
          <t>09 🏁 Portfolio, Resume &amp; Offers</t>
        </is>
      </c>
      <c r="B145" s="66" t="n">
        <v>10</v>
      </c>
      <c r="C145" s="65" t="inlineStr">
        <is>
          <t>150 DSA problems done + 2 timed mocks</t>
        </is>
      </c>
      <c r="D145" s="65" t="n"/>
      <c r="E145" s="67" t="n">
        <v>6.2</v>
      </c>
      <c r="F145" s="68" t="n"/>
      <c r="G145" s="68" t="n"/>
      <c r="H145" s="65" t="inlineStr">
        <is>
          <t>Not started</t>
        </is>
      </c>
      <c r="I145" s="66" t="n">
        <v>0</v>
      </c>
      <c r="J145" s="68" t="n"/>
      <c r="K145" s="65" t="n"/>
    </row>
    <row r="146">
      <c r="A146" s="65" t="inlineStr">
        <is>
          <t>09 🏁 Portfolio, Resume &amp; Offers</t>
        </is>
      </c>
      <c r="B146" s="66" t="n">
        <v>11</v>
      </c>
      <c r="C146" s="65" t="inlineStr">
        <is>
          <t>Apply 25/week: Kerala + Bengaluru + Chennai + Hyderabad + remote</t>
        </is>
      </c>
      <c r="D146" s="65" t="n"/>
      <c r="E146" s="67" t="n">
        <v>6.2</v>
      </c>
      <c r="F146" s="68" t="n"/>
      <c r="G146" s="68" t="n"/>
      <c r="H146" s="65" t="inlineStr">
        <is>
          <t>Not started</t>
        </is>
      </c>
      <c r="I146" s="66" t="n">
        <v>0</v>
      </c>
      <c r="J146" s="68" t="n"/>
      <c r="K146" s="65" t="n"/>
    </row>
    <row r="147">
      <c r="A147" s="65" t="inlineStr">
        <is>
          <t>09 🏁 Portfolio, Resume &amp; Offers</t>
        </is>
      </c>
      <c r="B147" s="66" t="n">
        <v>12</v>
      </c>
      <c r="C147" s="65" t="inlineStr">
        <is>
          <t>5 referrals/week via LinkedIn alumni &amp; ex-colleagues</t>
        </is>
      </c>
      <c r="D147" s="65" t="n"/>
      <c r="E147" s="67" t="n">
        <v>6.2</v>
      </c>
      <c r="F147" s="68" t="n"/>
      <c r="G147" s="68" t="n"/>
      <c r="H147" s="65" t="inlineStr">
        <is>
          <t>Not started</t>
        </is>
      </c>
      <c r="I147" s="66" t="n">
        <v>0</v>
      </c>
      <c r="J147" s="68" t="n"/>
      <c r="K147" s="65" t="n"/>
    </row>
    <row r="148">
      <c r="A148" s="65" t="inlineStr">
        <is>
          <t>09 🏁 Portfolio, Resume &amp; Offers</t>
        </is>
      </c>
      <c r="B148" s="66" t="n">
        <v>13</v>
      </c>
      <c r="C148" s="65" t="inlineStr">
        <is>
          <t>Track every application in the Job Tracker sheet</t>
        </is>
      </c>
      <c r="D148" s="65" t="n"/>
      <c r="E148" s="67" t="n">
        <v>6.2</v>
      </c>
      <c r="F148" s="68" t="n"/>
      <c r="G148" s="68" t="n"/>
      <c r="H148" s="65" t="inlineStr">
        <is>
          <t>Not started</t>
        </is>
      </c>
      <c r="I148" s="66" t="n">
        <v>0</v>
      </c>
      <c r="J148" s="68" t="n"/>
      <c r="K148" s="65" t="n"/>
    </row>
    <row r="149">
      <c r="A149" s="65" t="inlineStr">
        <is>
          <t>09 🏁 Portfolio, Resume &amp; Offers</t>
        </is>
      </c>
      <c r="B149" s="66" t="n">
        <v>14</v>
      </c>
      <c r="C149" s="65" t="inlineStr">
        <is>
          <t>Follow up after 5–7 days (one polite message)</t>
        </is>
      </c>
      <c r="D149" s="65" t="n"/>
      <c r="E149" s="67" t="n">
        <v>6.2</v>
      </c>
      <c r="F149" s="68" t="n"/>
      <c r="G149" s="68" t="n"/>
      <c r="H149" s="65" t="inlineStr">
        <is>
          <t>Not started</t>
        </is>
      </c>
      <c r="I149" s="66" t="n">
        <v>0</v>
      </c>
      <c r="J149" s="68" t="n"/>
      <c r="K149" s="65" t="n"/>
    </row>
    <row r="150">
      <c r="A150" s="65" t="inlineStr">
        <is>
          <t>09 🏁 Portfolio, Resume &amp; Offers</t>
        </is>
      </c>
      <c r="B150" s="66" t="n">
        <v>15</v>
      </c>
      <c r="C150" s="65" t="inlineStr">
        <is>
          <t>Negotiate with a range, not a single number</t>
        </is>
      </c>
      <c r="D150" s="65" t="n"/>
      <c r="E150" s="67" t="n">
        <v>6.2</v>
      </c>
      <c r="F150" s="68" t="n"/>
      <c r="G150" s="68" t="n"/>
      <c r="H150" s="65" t="inlineStr">
        <is>
          <t>Not started</t>
        </is>
      </c>
      <c r="I150" s="66" t="n">
        <v>0</v>
      </c>
      <c r="J150" s="68" t="n"/>
      <c r="K150" s="65" t="n"/>
    </row>
    <row r="151">
      <c r="A151" s="65" t="inlineStr">
        <is>
          <t>09 🏁 Portfolio, Resume &amp; Offers</t>
        </is>
      </c>
      <c r="B151" s="66" t="n">
        <v>16</v>
      </c>
      <c r="C151" s="65" t="inlineStr">
        <is>
          <t>Post 2 build-in-public updates per week</t>
        </is>
      </c>
      <c r="D151" s="65" t="n"/>
      <c r="E151" s="67" t="n">
        <v>6.2</v>
      </c>
      <c r="F151" s="68" t="n"/>
      <c r="G151" s="68" t="n"/>
      <c r="H151" s="65" t="inlineStr">
        <is>
          <t>Not started</t>
        </is>
      </c>
      <c r="I151" s="66" t="n">
        <v>0</v>
      </c>
      <c r="J151" s="68" t="n"/>
      <c r="K151" s="65" t="n"/>
    </row>
  </sheetData>
  <autoFilter ref="A3:K151"/>
  <mergeCells count="2">
    <mergeCell ref="A2:K2"/>
    <mergeCell ref="A1:K1"/>
  </mergeCells>
  <conditionalFormatting sqref="H4:H15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"Revise"</formula>
    </cfRule>
  </conditionalFormatting>
  <conditionalFormatting sqref="I4:I151">
    <cfRule type="cellIs" priority="4" operator="lessThanOrEqual" dxfId="3">
      <formula>2</formula>
    </cfRule>
  </conditionalFormatting>
  <dataValidations count="2">
    <dataValidation sqref="H4:H151" showDropDown="0" showInputMessage="0" showErrorMessage="0" allowBlank="1" promptTitle="Status" prompt="Pick a status" type="list">
      <formula1>"Not started,In progress,Done,Revise"</formula1>
    </dataValidation>
    <dataValidation sqref="I4:I151" showDropDown="0" showInputMessage="0" showErrorMessage="1" allowBlank="1" errorTitle="Confidence" error="Use 0–5" type="whole" operator="between">
      <formula1>0</formula1>
      <formula2>5</formula2>
    </dataValidation>
  </dataValidations>
  <hyperlinks>
    <hyperlink xmlns:r="http://schemas.openxmlformats.org/officeDocument/2006/relationships" ref="D4" r:id="rId1"/>
    <hyperlink xmlns:r="http://schemas.openxmlformats.org/officeDocument/2006/relationships" ref="D20" r:id="rId2"/>
    <hyperlink xmlns:r="http://schemas.openxmlformats.org/officeDocument/2006/relationships" ref="D38" r:id="rId3"/>
    <hyperlink xmlns:r="http://schemas.openxmlformats.org/officeDocument/2006/relationships" ref="D54" r:id="rId4"/>
    <hyperlink xmlns:r="http://schemas.openxmlformats.org/officeDocument/2006/relationships" ref="D73" r:id="rId5"/>
    <hyperlink xmlns:r="http://schemas.openxmlformats.org/officeDocument/2006/relationships" ref="D89" r:id="rId6"/>
    <hyperlink xmlns:r="http://schemas.openxmlformats.org/officeDocument/2006/relationships" ref="D106" r:id="rId7"/>
    <hyperlink xmlns:r="http://schemas.openxmlformats.org/officeDocument/2006/relationships" ref="D126" r:id="rId8"/>
    <hyperlink xmlns:r="http://schemas.openxmlformats.org/officeDocument/2006/relationships" ref="D136" r:id="rId9"/>
  </hyperlink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J36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10" customWidth="1" min="4" max="4"/>
    <col width="12" customWidth="1" min="5" max="5"/>
    <col width="12" customWidth="1" min="6" max="6"/>
    <col width="13" customWidth="1" min="7" max="7"/>
    <col width="34" customWidth="1" min="8" max="8"/>
    <col width="34" customWidth="1" min="9" max="9"/>
    <col width="10" customWidth="1" min="10" max="10"/>
  </cols>
  <sheetData>
    <row r="1" ht="34" customHeight="1">
      <c r="A1" s="1" t="inlineStr">
        <is>
          <t>WEEKLY LOG</t>
        </is>
      </c>
    </row>
    <row r="2" ht="30" customHeight="1">
      <c r="A2" s="2" t="inlineStr">
        <is>
          <t>32 weeks, pre-dated from Mon 19 Oct 2026. Fill this every Sunday — 10 minutes, honestly.</t>
        </is>
      </c>
    </row>
    <row r="3" ht="28" customHeight="1">
      <c r="A3" s="23" t="inlineStr">
        <is>
          <t>Week</t>
        </is>
      </c>
      <c r="B3" s="23" t="inlineStr">
        <is>
          <t>Week of (Mon)</t>
        </is>
      </c>
      <c r="C3" s="23" t="inlineStr">
        <is>
          <t>Planned focus</t>
        </is>
      </c>
      <c r="D3" s="23" t="inlineStr">
        <is>
          <t>Target hrs</t>
        </is>
      </c>
      <c r="E3" s="23" t="inlineStr">
        <is>
          <t>Hours logged</t>
        </is>
      </c>
      <c r="F3" s="23" t="inlineStr">
        <is>
          <t>DSA problems</t>
        </is>
      </c>
      <c r="G3" s="23" t="inlineStr">
        <is>
          <t>Lessons / videos</t>
        </is>
      </c>
      <c r="H3" s="23" t="inlineStr">
        <is>
          <t>Biggest win</t>
        </is>
      </c>
      <c r="I3" s="23" t="inlineStr">
        <is>
          <t>Blocker &amp; fix</t>
        </is>
      </c>
      <c r="J3" s="23" t="inlineStr">
        <is>
          <t>Energy 1–5</t>
        </is>
      </c>
    </row>
    <row r="4">
      <c r="A4" s="25" t="n">
        <v>1</v>
      </c>
      <c r="B4" s="69" t="n">
        <v>46314</v>
      </c>
      <c r="C4" s="24" t="inlineStr">
        <is>
          <t>01 🎮 — Setup, Git &amp; HTML/CSS Pro</t>
        </is>
      </c>
      <c r="D4" s="25" t="n">
        <v>30</v>
      </c>
      <c r="E4" s="25" t="n"/>
      <c r="F4" s="25" t="n"/>
      <c r="G4" s="25" t="n"/>
      <c r="H4" s="24" t="n"/>
      <c r="I4" s="24" t="n"/>
      <c r="J4" s="25" t="n"/>
    </row>
    <row r="5">
      <c r="A5" s="25" t="n">
        <v>2</v>
      </c>
      <c r="B5" s="69" t="n">
        <v>46321</v>
      </c>
      <c r="C5" s="24" t="inlineStr">
        <is>
          <t>01 🎮 — Setup, Git &amp; HTML/CSS Pro</t>
        </is>
      </c>
      <c r="D5" s="25" t="n">
        <v>30</v>
      </c>
      <c r="E5" s="25" t="n"/>
      <c r="F5" s="25" t="n"/>
      <c r="G5" s="25" t="n"/>
      <c r="H5" s="24" t="n"/>
      <c r="I5" s="24" t="n"/>
      <c r="J5" s="25" t="n"/>
    </row>
    <row r="6">
      <c r="A6" s="25" t="n">
        <v>3</v>
      </c>
      <c r="B6" s="69" t="n">
        <v>46328</v>
      </c>
      <c r="C6" s="24" t="inlineStr">
        <is>
          <t>02 ⚡ — JavaScript Deep Dive</t>
        </is>
      </c>
      <c r="D6" s="25" t="n">
        <v>30</v>
      </c>
      <c r="E6" s="25" t="n"/>
      <c r="F6" s="25" t="n"/>
      <c r="G6" s="25" t="n"/>
      <c r="H6" s="24" t="n"/>
      <c r="I6" s="24" t="n"/>
      <c r="J6" s="25" t="n"/>
    </row>
    <row r="7">
      <c r="A7" s="25" t="n">
        <v>4</v>
      </c>
      <c r="B7" s="69" t="n">
        <v>46335</v>
      </c>
      <c r="C7" s="24" t="inlineStr">
        <is>
          <t>02 ⚡ — JavaScript Deep Dive</t>
        </is>
      </c>
      <c r="D7" s="25" t="n">
        <v>30</v>
      </c>
      <c r="E7" s="25" t="n"/>
      <c r="F7" s="25" t="n"/>
      <c r="G7" s="25" t="n"/>
      <c r="H7" s="24" t="n"/>
      <c r="I7" s="24" t="n"/>
      <c r="J7" s="25" t="n"/>
    </row>
    <row r="8">
      <c r="A8" s="25" t="n">
        <v>5</v>
      </c>
      <c r="B8" s="69" t="n">
        <v>46342</v>
      </c>
      <c r="C8" s="24" t="inlineStr">
        <is>
          <t>02 ⚡ — JavaScript Deep Dive</t>
        </is>
      </c>
      <c r="D8" s="25" t="n">
        <v>30</v>
      </c>
      <c r="E8" s="25" t="n"/>
      <c r="F8" s="25" t="n"/>
      <c r="G8" s="25" t="n"/>
      <c r="H8" s="24" t="n"/>
      <c r="I8" s="24" t="n"/>
      <c r="J8" s="25" t="n"/>
    </row>
    <row r="9">
      <c r="A9" s="25" t="n">
        <v>6</v>
      </c>
      <c r="B9" s="69" t="n">
        <v>46349</v>
      </c>
      <c r="C9" s="24" t="inlineStr">
        <is>
          <t>02 ⚡ — JavaScript Deep Dive</t>
        </is>
      </c>
      <c r="D9" s="25" t="n">
        <v>30</v>
      </c>
      <c r="E9" s="25" t="n"/>
      <c r="F9" s="25" t="n"/>
      <c r="G9" s="25" t="n"/>
      <c r="H9" s="24" t="n"/>
      <c r="I9" s="24" t="n"/>
      <c r="J9" s="25" t="n"/>
    </row>
    <row r="10">
      <c r="A10" s="25" t="n">
        <v>7</v>
      </c>
      <c r="B10" s="69" t="n">
        <v>46356</v>
      </c>
      <c r="C10" s="24" t="inlineStr">
        <is>
          <t>02 ⚡ — JavaScript Deep Dive</t>
        </is>
      </c>
      <c r="D10" s="25" t="n">
        <v>30</v>
      </c>
      <c r="E10" s="25" t="n"/>
      <c r="F10" s="25" t="n"/>
      <c r="G10" s="25" t="n"/>
      <c r="H10" s="24" t="n"/>
      <c r="I10" s="24" t="n"/>
      <c r="J10" s="25" t="n"/>
    </row>
    <row r="11">
      <c r="A11" s="25" t="n">
        <v>8</v>
      </c>
      <c r="B11" s="69" t="n">
        <v>46363</v>
      </c>
      <c r="C11" s="24" t="inlineStr">
        <is>
          <t>03 🔥 — React + TypeScript + Tailwind</t>
        </is>
      </c>
      <c r="D11" s="25" t="n">
        <v>30</v>
      </c>
      <c r="E11" s="25" t="n"/>
      <c r="F11" s="25" t="n"/>
      <c r="G11" s="25" t="n"/>
      <c r="H11" s="24" t="n"/>
      <c r="I11" s="24" t="n"/>
      <c r="J11" s="25" t="n"/>
    </row>
    <row r="12">
      <c r="A12" s="25" t="n">
        <v>9</v>
      </c>
      <c r="B12" s="69" t="n">
        <v>46370</v>
      </c>
      <c r="C12" s="24" t="inlineStr">
        <is>
          <t>03 🔥 — React + TypeScript + Tailwind</t>
        </is>
      </c>
      <c r="D12" s="25" t="n">
        <v>30</v>
      </c>
      <c r="E12" s="25" t="n"/>
      <c r="F12" s="25" t="n"/>
      <c r="G12" s="25" t="n"/>
      <c r="H12" s="24" t="n"/>
      <c r="I12" s="24" t="n"/>
      <c r="J12" s="25" t="n"/>
    </row>
    <row r="13">
      <c r="A13" s="25" t="n">
        <v>10</v>
      </c>
      <c r="B13" s="69" t="n">
        <v>46377</v>
      </c>
      <c r="C13" s="24" t="inlineStr">
        <is>
          <t>03 🔥 — React + TypeScript + Tailwind</t>
        </is>
      </c>
      <c r="D13" s="25" t="n">
        <v>30</v>
      </c>
      <c r="E13" s="25" t="n"/>
      <c r="F13" s="25" t="n"/>
      <c r="G13" s="25" t="n"/>
      <c r="H13" s="24" t="n"/>
      <c r="I13" s="24" t="n"/>
      <c r="J13" s="25" t="n"/>
    </row>
    <row r="14">
      <c r="A14" s="25" t="n">
        <v>11</v>
      </c>
      <c r="B14" s="69" t="n">
        <v>46384</v>
      </c>
      <c r="C14" s="24" t="inlineStr">
        <is>
          <t>03 🔥 — React + TypeScript + Tailwind</t>
        </is>
      </c>
      <c r="D14" s="25" t="n">
        <v>30</v>
      </c>
      <c r="E14" s="25" t="n"/>
      <c r="F14" s="25" t="n"/>
      <c r="G14" s="25" t="n"/>
      <c r="H14" s="24" t="n"/>
      <c r="I14" s="24" t="n"/>
      <c r="J14" s="25" t="n"/>
    </row>
    <row r="15">
      <c r="A15" s="25" t="n">
        <v>12</v>
      </c>
      <c r="B15" s="69" t="n">
        <v>46391</v>
      </c>
      <c r="C15" s="24" t="inlineStr">
        <is>
          <t>04 🏰 — Node.js + Express + MongoDB</t>
        </is>
      </c>
      <c r="D15" s="25" t="n">
        <v>30</v>
      </c>
      <c r="E15" s="25" t="n"/>
      <c r="F15" s="25" t="n"/>
      <c r="G15" s="25" t="n"/>
      <c r="H15" s="24" t="n"/>
      <c r="I15" s="24" t="n"/>
      <c r="J15" s="25" t="n"/>
    </row>
    <row r="16">
      <c r="A16" s="25" t="n">
        <v>13</v>
      </c>
      <c r="B16" s="69" t="n">
        <v>46398</v>
      </c>
      <c r="C16" s="24" t="inlineStr">
        <is>
          <t>04 🏰 — Node.js + Express + MongoDB</t>
        </is>
      </c>
      <c r="D16" s="25" t="n">
        <v>30</v>
      </c>
      <c r="E16" s="25" t="n"/>
      <c r="F16" s="25" t="n"/>
      <c r="G16" s="25" t="n"/>
      <c r="H16" s="24" t="n"/>
      <c r="I16" s="24" t="n"/>
      <c r="J16" s="25" t="n"/>
    </row>
    <row r="17">
      <c r="A17" s="25" t="n">
        <v>14</v>
      </c>
      <c r="B17" s="69" t="n">
        <v>46405</v>
      </c>
      <c r="C17" s="24" t="inlineStr">
        <is>
          <t>04 🏰 — Node.js + Express + MongoDB</t>
        </is>
      </c>
      <c r="D17" s="25" t="n">
        <v>30</v>
      </c>
      <c r="E17" s="25" t="n"/>
      <c r="F17" s="25" t="n"/>
      <c r="G17" s="25" t="n"/>
      <c r="H17" s="24" t="n"/>
      <c r="I17" s="24" t="n"/>
      <c r="J17" s="25" t="n"/>
    </row>
    <row r="18">
      <c r="A18" s="25" t="n">
        <v>15</v>
      </c>
      <c r="B18" s="69" t="n">
        <v>46412</v>
      </c>
      <c r="C18" s="24" t="inlineStr">
        <is>
          <t>04 🏰 — Node.js + Express + MongoDB</t>
        </is>
      </c>
      <c r="D18" s="25" t="n">
        <v>30</v>
      </c>
      <c r="E18" s="25" t="n"/>
      <c r="F18" s="25" t="n"/>
      <c r="G18" s="25" t="n"/>
      <c r="H18" s="24" t="n"/>
      <c r="I18" s="24" t="n"/>
      <c r="J18" s="25" t="n"/>
    </row>
    <row r="19">
      <c r="A19" s="25" t="n">
        <v>16</v>
      </c>
      <c r="B19" s="69" t="n">
        <v>46419</v>
      </c>
      <c r="C19" s="24" t="inlineStr">
        <is>
          <t>04 🏰 — Node.js + Express + MongoDB</t>
        </is>
      </c>
      <c r="D19" s="25" t="n">
        <v>30</v>
      </c>
      <c r="E19" s="25" t="n"/>
      <c r="F19" s="25" t="n"/>
      <c r="G19" s="25" t="n"/>
      <c r="H19" s="24" t="n"/>
      <c r="I19" s="24" t="n"/>
      <c r="J19" s="25" t="n"/>
    </row>
    <row r="20">
      <c r="A20" s="70" t="n">
        <v>17</v>
      </c>
      <c r="B20" s="71" t="n">
        <v>46426</v>
      </c>
      <c r="C20" s="72" t="inlineStr">
        <is>
          <t>05 🗺️ — SQL + Python (Kerala JD insurance)</t>
        </is>
      </c>
      <c r="D20" s="70" t="n">
        <v>30</v>
      </c>
      <c r="E20" s="70" t="n"/>
      <c r="F20" s="70" t="n"/>
      <c r="G20" s="70" t="n"/>
      <c r="H20" s="72" t="n"/>
      <c r="I20" s="72" t="n"/>
      <c r="J20" s="70" t="n"/>
    </row>
    <row r="21">
      <c r="A21" s="70" t="n">
        <v>18</v>
      </c>
      <c r="B21" s="71" t="n">
        <v>46433</v>
      </c>
      <c r="C21" s="72" t="inlineStr">
        <is>
          <t>05 🗺️ — SQL + Python (Kerala JD insurance)</t>
        </is>
      </c>
      <c r="D21" s="70" t="n">
        <v>30</v>
      </c>
      <c r="E21" s="70" t="n"/>
      <c r="F21" s="70" t="n"/>
      <c r="G21" s="70" t="n"/>
      <c r="H21" s="72" t="n"/>
      <c r="I21" s="72" t="n"/>
      <c r="J21" s="70" t="n"/>
    </row>
    <row r="22">
      <c r="A22" s="73" t="n">
        <v>19</v>
      </c>
      <c r="B22" s="74" t="n">
        <v>46440</v>
      </c>
      <c r="C22" s="75" t="inlineStr">
        <is>
          <t>06 🐉 — Capstone + Docker + CI/CD</t>
        </is>
      </c>
      <c r="D22" s="73" t="n">
        <v>30</v>
      </c>
      <c r="E22" s="73" t="n"/>
      <c r="F22" s="73" t="n"/>
      <c r="G22" s="73" t="n"/>
      <c r="H22" s="75" t="n"/>
      <c r="I22" s="75" t="n"/>
      <c r="J22" s="73" t="n"/>
    </row>
    <row r="23">
      <c r="A23" s="73" t="n">
        <v>20</v>
      </c>
      <c r="B23" s="74" t="n">
        <v>46447</v>
      </c>
      <c r="C23" s="75" t="inlineStr">
        <is>
          <t>06 🐉 — Capstone + Docker + CI/CD</t>
        </is>
      </c>
      <c r="D23" s="73" t="n">
        <v>30</v>
      </c>
      <c r="E23" s="73" t="n"/>
      <c r="F23" s="73" t="n"/>
      <c r="G23" s="73" t="n"/>
      <c r="H23" s="75" t="n"/>
      <c r="I23" s="75" t="n"/>
      <c r="J23" s="73" t="n"/>
    </row>
    <row r="24">
      <c r="A24" s="73" t="n">
        <v>21</v>
      </c>
      <c r="B24" s="74" t="n">
        <v>46454</v>
      </c>
      <c r="C24" s="75" t="inlineStr">
        <is>
          <t>06 🐉 — Capstone + Docker + CI/CD</t>
        </is>
      </c>
      <c r="D24" s="73" t="n">
        <v>30</v>
      </c>
      <c r="E24" s="73" t="n"/>
      <c r="F24" s="73" t="n"/>
      <c r="G24" s="73" t="n"/>
      <c r="H24" s="75" t="n"/>
      <c r="I24" s="75" t="n"/>
      <c r="J24" s="73" t="n"/>
    </row>
    <row r="25">
      <c r="A25" s="73" t="n">
        <v>22</v>
      </c>
      <c r="B25" s="74" t="n">
        <v>46461</v>
      </c>
      <c r="C25" s="75" t="inlineStr">
        <is>
          <t>06 🐉 — Capstone + Docker + CI/CD</t>
        </is>
      </c>
      <c r="D25" s="73" t="n">
        <v>30</v>
      </c>
      <c r="E25" s="73" t="n"/>
      <c r="F25" s="73" t="n"/>
      <c r="G25" s="73" t="n"/>
      <c r="H25" s="75" t="n"/>
      <c r="I25" s="75" t="n"/>
      <c r="J25" s="73" t="n"/>
    </row>
    <row r="26">
      <c r="A26" s="76" t="n">
        <v>23</v>
      </c>
      <c r="B26" s="77" t="n">
        <v>46468</v>
      </c>
      <c r="C26" s="78" t="inlineStr">
        <is>
          <t>08 📊 — Power BI + Analytics</t>
        </is>
      </c>
      <c r="D26" s="76" t="n">
        <v>30</v>
      </c>
      <c r="E26" s="76" t="n"/>
      <c r="F26" s="76" t="n"/>
      <c r="G26" s="76" t="n"/>
      <c r="H26" s="78" t="n"/>
      <c r="I26" s="78" t="n"/>
      <c r="J26" s="76" t="n"/>
    </row>
    <row r="27">
      <c r="A27" s="76" t="n">
        <v>24</v>
      </c>
      <c r="B27" s="77" t="n">
        <v>46475</v>
      </c>
      <c r="C27" s="78" t="inlineStr">
        <is>
          <t>08 📊 — Power BI + Analytics</t>
        </is>
      </c>
      <c r="D27" s="76" t="n">
        <v>30</v>
      </c>
      <c r="E27" s="76" t="n"/>
      <c r="F27" s="76" t="n"/>
      <c r="G27" s="76" t="n"/>
      <c r="H27" s="78" t="n"/>
      <c r="I27" s="78" t="n"/>
      <c r="J27" s="76" t="n"/>
    </row>
    <row r="28">
      <c r="A28" s="79" t="n">
        <v>25</v>
      </c>
      <c r="B28" s="80" t="n">
        <v>46482</v>
      </c>
      <c r="C28" s="81" t="inlineStr">
        <is>
          <t>09 🏁 — Portfolio, Resume &amp; Offers</t>
        </is>
      </c>
      <c r="D28" s="79" t="n">
        <v>30</v>
      </c>
      <c r="E28" s="79" t="n"/>
      <c r="F28" s="79" t="n"/>
      <c r="G28" s="79" t="n"/>
      <c r="H28" s="81" t="n"/>
      <c r="I28" s="81" t="n"/>
      <c r="J28" s="79" t="n"/>
    </row>
    <row r="29">
      <c r="A29" s="79" t="n">
        <v>26</v>
      </c>
      <c r="B29" s="80" t="n">
        <v>46489</v>
      </c>
      <c r="C29" s="81" t="inlineStr">
        <is>
          <t>09 🏁 — Portfolio, Resume &amp; Offers</t>
        </is>
      </c>
      <c r="D29" s="79" t="n">
        <v>30</v>
      </c>
      <c r="E29" s="79" t="n"/>
      <c r="F29" s="79" t="n"/>
      <c r="G29" s="79" t="n"/>
      <c r="H29" s="81" t="n"/>
      <c r="I29" s="81" t="n"/>
      <c r="J29" s="79" t="n"/>
    </row>
    <row r="30">
      <c r="A30" s="79" t="n">
        <v>27</v>
      </c>
      <c r="B30" s="80" t="n">
        <v>46496</v>
      </c>
      <c r="C30" s="81" t="inlineStr">
        <is>
          <t>09 🏁 — Portfolio, Resume &amp; Offers</t>
        </is>
      </c>
      <c r="D30" s="79" t="n">
        <v>30</v>
      </c>
      <c r="E30" s="79" t="n"/>
      <c r="F30" s="79" t="n"/>
      <c r="G30" s="79" t="n"/>
      <c r="H30" s="81" t="n"/>
      <c r="I30" s="81" t="n"/>
      <c r="J30" s="79" t="n"/>
    </row>
    <row r="31">
      <c r="A31" s="79" t="n">
        <v>28</v>
      </c>
      <c r="B31" s="80" t="n">
        <v>46503</v>
      </c>
      <c r="C31" s="81" t="inlineStr">
        <is>
          <t>09 🏁 — Portfolio, Resume &amp; Offers</t>
        </is>
      </c>
      <c r="D31" s="79" t="n">
        <v>30</v>
      </c>
      <c r="E31" s="79" t="n"/>
      <c r="F31" s="79" t="n"/>
      <c r="G31" s="79" t="n"/>
      <c r="H31" s="81" t="n"/>
      <c r="I31" s="81" t="n"/>
      <c r="J31" s="79" t="n"/>
    </row>
    <row r="32">
      <c r="A32" s="79" t="n">
        <v>29</v>
      </c>
      <c r="B32" s="80" t="n">
        <v>46510</v>
      </c>
      <c r="C32" s="81" t="inlineStr">
        <is>
          <t>09 🏁 — Portfolio, Resume &amp; Offers</t>
        </is>
      </c>
      <c r="D32" s="79" t="n">
        <v>30</v>
      </c>
      <c r="E32" s="79" t="n"/>
      <c r="F32" s="79" t="n"/>
      <c r="G32" s="79" t="n"/>
      <c r="H32" s="81" t="n"/>
      <c r="I32" s="81" t="n"/>
      <c r="J32" s="79" t="n"/>
    </row>
    <row r="33">
      <c r="A33" s="79" t="n">
        <v>30</v>
      </c>
      <c r="B33" s="80" t="n">
        <v>46517</v>
      </c>
      <c r="C33" s="81" t="inlineStr">
        <is>
          <t>09 🏁 — Portfolio, Resume &amp; Offers</t>
        </is>
      </c>
      <c r="D33" s="79" t="n">
        <v>30</v>
      </c>
      <c r="E33" s="79" t="n"/>
      <c r="F33" s="79" t="n"/>
      <c r="G33" s="79" t="n"/>
      <c r="H33" s="81" t="n"/>
      <c r="I33" s="81" t="n"/>
      <c r="J33" s="79" t="n"/>
    </row>
    <row r="34">
      <c r="A34" s="79" t="n">
        <v>31</v>
      </c>
      <c r="B34" s="80" t="n">
        <v>46524</v>
      </c>
      <c r="C34" s="81" t="inlineStr">
        <is>
          <t>09 🏁 — Portfolio, Resume &amp; Offers</t>
        </is>
      </c>
      <c r="D34" s="79" t="n">
        <v>30</v>
      </c>
      <c r="E34" s="79" t="n"/>
      <c r="F34" s="79" t="n"/>
      <c r="G34" s="79" t="n"/>
      <c r="H34" s="81" t="n"/>
      <c r="I34" s="81" t="n"/>
      <c r="J34" s="79" t="n"/>
    </row>
    <row r="35">
      <c r="A35" s="79" t="n">
        <v>32</v>
      </c>
      <c r="B35" s="80" t="n">
        <v>46531</v>
      </c>
      <c r="C35" s="81" t="inlineStr">
        <is>
          <t>09 🏁 — Portfolio, Resume &amp; Offers</t>
        </is>
      </c>
      <c r="D35" s="79" t="n">
        <v>30</v>
      </c>
      <c r="E35" s="79" t="n"/>
      <c r="F35" s="79" t="n"/>
      <c r="G35" s="79" t="n"/>
      <c r="H35" s="81" t="n"/>
      <c r="I35" s="81" t="n"/>
      <c r="J35" s="79" t="n"/>
    </row>
    <row r="36">
      <c r="A36" s="82" t="inlineStr">
        <is>
          <t>Σ</t>
        </is>
      </c>
      <c r="B36" s="82" t="n"/>
      <c r="C36" s="82" t="inlineStr">
        <is>
          <t>Totals</t>
        </is>
      </c>
      <c r="D36" s="82">
        <f>SUM(D4:D35)</f>
        <v/>
      </c>
      <c r="E36" s="82">
        <f>SUM(E4:E35)</f>
        <v/>
      </c>
      <c r="F36" s="82">
        <f>SUM(F4:F35)</f>
        <v/>
      </c>
      <c r="G36" s="82">
        <f>SUM(G4:G35)</f>
        <v/>
      </c>
      <c r="H36" s="82" t="n"/>
      <c r="I36" s="82" t="n"/>
      <c r="J36" s="82" t="n"/>
    </row>
  </sheetData>
  <autoFilter ref="A3:J35"/>
  <mergeCells count="2">
    <mergeCell ref="A1:J1"/>
    <mergeCell ref="A2:J2"/>
  </mergeCells>
  <dataValidations count="1">
    <dataValidation sqref="J4:J35" showDropDown="0" showInputMessage="0" showErrorMessage="0" allowBlank="1" type="whole" operator="between">
      <formula1>1</formula1>
      <formula2>5</formula2>
    </dataValidation>
  </dataValidation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F6B3D"/>
    <outlinePr summaryBelow="1" summaryRight="1"/>
    <pageSetUpPr fitToPage="1"/>
  </sheetPr>
  <dimension ref="A1:I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60" customWidth="1" min="4" max="4"/>
    <col width="26" customWidth="1" min="5" max="5"/>
    <col width="26" customWidth="1" min="6" max="6"/>
    <col width="20" customWidth="1" min="7" max="7"/>
    <col width="13" customWidth="1" min="8" max="8"/>
    <col width="13" customWidth="1" min="9" max="9"/>
  </cols>
  <sheetData>
    <row r="1" ht="34" customHeight="1">
      <c r="A1" s="1" t="inlineStr">
        <is>
          <t>PROJECTS — the boss ladder</t>
        </is>
      </c>
    </row>
    <row r="2" ht="30" customHeight="1">
      <c r="A2" s="2" t="inlineStr">
        <is>
          <t>A project is only 'done' when it is deployed and the README has a live link. Milestones: 1 = not started, 2 = in progress, 3 = done.</t>
        </is>
      </c>
    </row>
    <row r="3" ht="28" customHeight="1">
      <c r="A3" s="23" t="inlineStr">
        <is>
          <t>Project</t>
        </is>
      </c>
      <c r="B3" s="23" t="inlineStr">
        <is>
          <t>Stack</t>
        </is>
      </c>
      <c r="C3" s="23" t="inlineStr">
        <is>
          <t>Weeks</t>
        </is>
      </c>
      <c r="D3" s="23" t="inlineStr">
        <is>
          <t>Milestones to hit</t>
        </is>
      </c>
      <c r="E3" s="23" t="inlineStr">
        <is>
          <t>Live URL</t>
        </is>
      </c>
      <c r="F3" s="23" t="inlineStr">
        <is>
          <t>GitHub repo</t>
        </is>
      </c>
      <c r="G3" s="23" t="inlineStr">
        <is>
          <t>Demo video</t>
        </is>
      </c>
      <c r="H3" s="23" t="inlineStr">
        <is>
          <t>README done?</t>
        </is>
      </c>
      <c r="I3" s="23" t="inlineStr">
        <is>
          <t>Status</t>
        </is>
      </c>
    </row>
    <row r="4" ht="46" customHeight="1">
      <c r="A4" s="24" t="inlineStr">
        <is>
          <t>LV.1 Kerala Travel Planner</t>
        </is>
      </c>
      <c r="B4" s="24" t="inlineStr">
        <is>
          <t>HTML · CSS · JS · API · localStorage</t>
        </is>
      </c>
      <c r="C4" s="24" t="inlineStr">
        <is>
          <t>Week 4–5</t>
        </is>
      </c>
      <c r="D4" s="24" t="inlineStr">
        <is>
          <t>Search destinations • Filter by district • Save favourites • Fully responsive</t>
        </is>
      </c>
      <c r="E4" s="24" t="n"/>
      <c r="F4" s="24" t="n"/>
      <c r="G4" s="24" t="n"/>
      <c r="H4" s="24" t="inlineStr">
        <is>
          <t>Not yet</t>
        </is>
      </c>
      <c r="I4" s="24" t="inlineStr">
        <is>
          <t>Not started</t>
        </is>
      </c>
    </row>
    <row r="5" ht="46" customHeight="1">
      <c r="A5" s="24" t="inlineStr">
        <is>
          <t>LV.2 Expense Tracker (React + TS)</t>
        </is>
      </c>
      <c r="B5" s="24" t="inlineStr">
        <is>
          <t>React · TypeScript · Tailwind · Recharts</t>
        </is>
      </c>
      <c r="C5" s="24" t="inlineStr">
        <is>
          <t>Week 10–11</t>
        </is>
      </c>
      <c r="D5" s="24" t="inlineStr">
        <is>
          <t>Add/edit/delete expenses • Category charts • Monthly filters • Local persistence</t>
        </is>
      </c>
      <c r="E5" s="24" t="n"/>
      <c r="F5" s="24" t="n"/>
      <c r="G5" s="24" t="n"/>
      <c r="H5" s="24" t="inlineStr">
        <is>
          <t>Not yet</t>
        </is>
      </c>
      <c r="I5" s="24" t="inlineStr">
        <is>
          <t>Not started</t>
        </is>
      </c>
    </row>
    <row r="6" ht="46" customHeight="1">
      <c r="A6" s="24" t="inlineStr">
        <is>
          <t>LV.3 Job Board API</t>
        </is>
      </c>
      <c r="B6" s="24" t="inlineStr">
        <is>
          <t>Node · Express · MongoDB · JWT</t>
        </is>
      </c>
      <c r="C6" s="24" t="inlineStr">
        <is>
          <t>Week 15–16</t>
        </is>
      </c>
      <c r="D6" s="24" t="inlineStr">
        <is>
          <t>Auth + roles • CRUD jobs • Search + pagination • Rate limiting</t>
        </is>
      </c>
      <c r="E6" s="24" t="n"/>
      <c r="F6" s="24" t="n"/>
      <c r="G6" s="24" t="n"/>
      <c r="H6" s="24" t="inlineStr">
        <is>
          <t>Not yet</t>
        </is>
      </c>
      <c r="I6" s="24" t="inlineStr">
        <is>
          <t>Not started</t>
        </is>
      </c>
    </row>
    <row r="7" ht="46" customHeight="1">
      <c r="A7" s="24" t="inlineStr">
        <is>
          <t>LV.4 SkillBridge (Capstone)</t>
        </is>
      </c>
      <c r="B7" s="24" t="inlineStr">
        <is>
          <t>MERN · TypeScript · Docker · CI/CD</t>
        </is>
      </c>
      <c r="C7" s="24" t="inlineStr">
        <is>
          <t>Week 19–22</t>
        </is>
      </c>
      <c r="D7" s="24" t="inlineStr">
        <is>
          <t>Student &amp; recruiter roles • Job posts + applications • Dashboard analytics • Dockerised + CI</t>
        </is>
      </c>
      <c r="E7" s="24" t="n"/>
      <c r="F7" s="24" t="n"/>
      <c r="G7" s="24" t="n"/>
      <c r="H7" s="24" t="inlineStr">
        <is>
          <t>Not yet</t>
        </is>
      </c>
      <c r="I7" s="24" t="inlineStr">
        <is>
          <t>Not started</t>
        </is>
      </c>
    </row>
    <row r="8" ht="46" customHeight="1">
      <c r="A8" s="24" t="inlineStr">
        <is>
          <t>LV.5 Kerala IT Job Market Analyser</t>
        </is>
      </c>
      <c r="B8" s="24" t="inlineStr">
        <is>
          <t>Python · pandas · Power BI · React</t>
        </is>
      </c>
      <c r="C8" s="24" t="inlineStr">
        <is>
          <t>Week 23–24</t>
        </is>
      </c>
      <c r="D8" s="24" t="inlineStr">
        <is>
          <t>Scrape job boards • Skill frequency analysis • Salary bands • Power BI dashboard</t>
        </is>
      </c>
      <c r="E8" s="24" t="n"/>
      <c r="F8" s="24" t="n"/>
      <c r="G8" s="24" t="n"/>
      <c r="H8" s="24" t="inlineStr">
        <is>
          <t>Not yet</t>
        </is>
      </c>
      <c r="I8" s="24" t="inlineStr">
        <is>
          <t>Not started</t>
        </is>
      </c>
    </row>
  </sheetData>
  <mergeCells count="2">
    <mergeCell ref="A1:I1"/>
    <mergeCell ref="A2:I2"/>
  </mergeCells>
  <conditionalFormatting sqref="I4:I8">
    <cfRule type="cellIs" priority="1" operator="equal" dxfId="4">
      <formula>"Deployed"</formula>
    </cfRule>
    <cfRule type="cellIs" priority="2" operator="equal" dxfId="5">
      <formula>"In progress"</formula>
    </cfRule>
  </conditionalFormatting>
  <dataValidations count="2">
    <dataValidation sqref="I4:I8" showDropDown="0" showInputMessage="0" showErrorMessage="0" allowBlank="1" type="list">
      <formula1>"Not started,In progress,Deployed"</formula1>
    </dataValidation>
    <dataValidation sqref="H4:H8" showDropDown="0" showInputMessage="0" showErrorMessage="0" allowBlank="1" type="list">
      <formula1>"Not yet,Yes"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9B51E0"/>
    <outlinePr summaryBelow="1" summaryRight="1"/>
    <pageSetUpPr fitToPage="1"/>
  </sheetPr>
  <dimension ref="A1:J153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4" customWidth="1" min="4" max="4"/>
    <col width="11" customWidth="1" min="5" max="5"/>
    <col width="12" customWidth="1" min="6" max="6"/>
    <col width="11" customWidth="1" min="7" max="7"/>
    <col width="12" customWidth="1" min="8" max="8"/>
    <col width="13" customWidth="1" min="9" max="9"/>
    <col width="40" customWidth="1" min="10" max="10"/>
  </cols>
  <sheetData>
    <row r="1" ht="34" customHeight="1">
      <c r="A1" s="1" t="inlineStr">
        <is>
          <t>DSA LOG</t>
        </is>
      </c>
    </row>
    <row r="2" ht="30" customHeight="1">
      <c r="A2" s="2" t="inlineStr">
        <is>
          <t>150 slots. 45 minutes a day from week 3. Patterns pre-filled; the first 30 rows have starter problems.</t>
        </is>
      </c>
    </row>
    <row r="3" ht="28" customHeight="1">
      <c r="A3" s="23" t="inlineStr">
        <is>
          <t>#</t>
        </is>
      </c>
      <c r="B3" s="23" t="inlineStr">
        <is>
          <t>Pattern</t>
        </is>
      </c>
      <c r="C3" s="23" t="inlineStr">
        <is>
          <t>Problem</t>
        </is>
      </c>
      <c r="D3" s="23" t="inlineStr">
        <is>
          <t>Platform</t>
        </is>
      </c>
      <c r="E3" s="23" t="inlineStr">
        <is>
          <t>Difficulty</t>
        </is>
      </c>
      <c r="F3" s="23" t="inlineStr">
        <is>
          <t>Status</t>
        </is>
      </c>
      <c r="G3" s="23" t="inlineStr">
        <is>
          <t>Time (min)</t>
        </is>
      </c>
      <c r="H3" s="23" t="inlineStr">
        <is>
          <t>Date solved</t>
        </is>
      </c>
      <c r="I3" s="23" t="inlineStr">
        <is>
          <t>Re-solve date</t>
        </is>
      </c>
      <c r="J3" s="23" t="inlineStr">
        <is>
          <t>Notes / trick</t>
        </is>
      </c>
    </row>
    <row r="4">
      <c r="A4" s="25" t="n">
        <v>1</v>
      </c>
      <c r="B4" s="24" t="inlineStr">
        <is>
          <t>Arrays &amp; running sum</t>
        </is>
      </c>
      <c r="C4" s="24" t="inlineStr">
        <is>
          <t>Running Sum of 1d Array</t>
        </is>
      </c>
      <c r="D4" s="24" t="inlineStr">
        <is>
          <t>LeetCode</t>
        </is>
      </c>
      <c r="E4" s="25" t="inlineStr">
        <is>
          <t>Easy</t>
        </is>
      </c>
      <c r="F4" s="25" t="inlineStr">
        <is>
          <t>Not started</t>
        </is>
      </c>
      <c r="G4" s="25" t="n"/>
      <c r="H4" s="69" t="n"/>
      <c r="I4" s="69" t="n"/>
      <c r="J4" s="24" t="n"/>
    </row>
    <row r="5">
      <c r="A5" s="25" t="n">
        <v>2</v>
      </c>
      <c r="B5" s="24" t="inlineStr">
        <is>
          <t>Arrays &amp; running sum</t>
        </is>
      </c>
      <c r="C5" s="24" t="inlineStr">
        <is>
          <t>Best Time to Buy and Sell Stock</t>
        </is>
      </c>
      <c r="D5" s="24" t="inlineStr">
        <is>
          <t>LeetCode</t>
        </is>
      </c>
      <c r="E5" s="25" t="inlineStr">
        <is>
          <t>Easy</t>
        </is>
      </c>
      <c r="F5" s="25" t="inlineStr">
        <is>
          <t>Not started</t>
        </is>
      </c>
      <c r="G5" s="25" t="n"/>
      <c r="H5" s="69" t="n"/>
      <c r="I5" s="69" t="n"/>
      <c r="J5" s="24" t="n"/>
    </row>
    <row r="6">
      <c r="A6" s="25" t="n">
        <v>3</v>
      </c>
      <c r="B6" s="24" t="inlineStr">
        <is>
          <t>Arrays &amp; running sum</t>
        </is>
      </c>
      <c r="C6" s="24" t="inlineStr">
        <is>
          <t>Maximum Subarray</t>
        </is>
      </c>
      <c r="D6" s="24" t="inlineStr">
        <is>
          <t>LeetCode</t>
        </is>
      </c>
      <c r="E6" s="25" t="inlineStr">
        <is>
          <t>Medium</t>
        </is>
      </c>
      <c r="F6" s="25" t="inlineStr">
        <is>
          <t>Not started</t>
        </is>
      </c>
      <c r="G6" s="25" t="n"/>
      <c r="H6" s="69" t="n"/>
      <c r="I6" s="69" t="n"/>
      <c r="J6" s="24" t="n"/>
    </row>
    <row r="7">
      <c r="A7" s="25" t="n">
        <v>4</v>
      </c>
      <c r="B7" s="24" t="inlineStr">
        <is>
          <t>Strings &amp; frequency counting</t>
        </is>
      </c>
      <c r="C7" s="24" t="inlineStr">
        <is>
          <t>Valid Anagram</t>
        </is>
      </c>
      <c r="D7" s="24" t="inlineStr">
        <is>
          <t>LeetCode</t>
        </is>
      </c>
      <c r="E7" s="25" t="inlineStr">
        <is>
          <t>Easy</t>
        </is>
      </c>
      <c r="F7" s="25" t="inlineStr">
        <is>
          <t>Not started</t>
        </is>
      </c>
      <c r="G7" s="25" t="n"/>
      <c r="H7" s="69" t="n"/>
      <c r="I7" s="69" t="n"/>
      <c r="J7" s="24" t="n"/>
    </row>
    <row r="8">
      <c r="A8" s="25" t="n">
        <v>5</v>
      </c>
      <c r="B8" s="24" t="inlineStr">
        <is>
          <t>Strings &amp; frequency counting</t>
        </is>
      </c>
      <c r="C8" s="24" t="inlineStr">
        <is>
          <t>Valid Palindrome</t>
        </is>
      </c>
      <c r="D8" s="24" t="inlineStr">
        <is>
          <t>LeetCode</t>
        </is>
      </c>
      <c r="E8" s="25" t="inlineStr">
        <is>
          <t>Easy</t>
        </is>
      </c>
      <c r="F8" s="25" t="inlineStr">
        <is>
          <t>Not started</t>
        </is>
      </c>
      <c r="G8" s="25" t="n"/>
      <c r="H8" s="69" t="n"/>
      <c r="I8" s="69" t="n"/>
      <c r="J8" s="24" t="n"/>
    </row>
    <row r="9">
      <c r="A9" s="25" t="n">
        <v>6</v>
      </c>
      <c r="B9" s="24" t="inlineStr">
        <is>
          <t>Hashing (maps/sets) patterns</t>
        </is>
      </c>
      <c r="C9" s="24" t="inlineStr">
        <is>
          <t>Two Sum</t>
        </is>
      </c>
      <c r="D9" s="24" t="inlineStr">
        <is>
          <t>LeetCode</t>
        </is>
      </c>
      <c r="E9" s="25" t="inlineStr">
        <is>
          <t>Easy</t>
        </is>
      </c>
      <c r="F9" s="25" t="inlineStr">
        <is>
          <t>Not started</t>
        </is>
      </c>
      <c r="G9" s="25" t="n"/>
      <c r="H9" s="69" t="n"/>
      <c r="I9" s="69" t="n"/>
      <c r="J9" s="24" t="n"/>
    </row>
    <row r="10">
      <c r="A10" s="25" t="n">
        <v>7</v>
      </c>
      <c r="B10" s="24" t="inlineStr">
        <is>
          <t>Hashing (maps/sets) patterns</t>
        </is>
      </c>
      <c r="C10" s="24" t="inlineStr">
        <is>
          <t>Contains Duplicate</t>
        </is>
      </c>
      <c r="D10" s="24" t="inlineStr">
        <is>
          <t>LeetCode</t>
        </is>
      </c>
      <c r="E10" s="25" t="inlineStr">
        <is>
          <t>Easy</t>
        </is>
      </c>
      <c r="F10" s="25" t="inlineStr">
        <is>
          <t>Not started</t>
        </is>
      </c>
      <c r="G10" s="25" t="n"/>
      <c r="H10" s="69" t="n"/>
      <c r="I10" s="69" t="n"/>
      <c r="J10" s="24" t="n"/>
    </row>
    <row r="11">
      <c r="A11" s="25" t="n">
        <v>8</v>
      </c>
      <c r="B11" s="24" t="inlineStr">
        <is>
          <t>Hashing (maps/sets) patterns</t>
        </is>
      </c>
      <c r="C11" s="24" t="inlineStr">
        <is>
          <t>Group Anagrams</t>
        </is>
      </c>
      <c r="D11" s="24" t="inlineStr">
        <is>
          <t>LeetCode</t>
        </is>
      </c>
      <c r="E11" s="25" t="inlineStr">
        <is>
          <t>Medium</t>
        </is>
      </c>
      <c r="F11" s="25" t="inlineStr">
        <is>
          <t>Not started</t>
        </is>
      </c>
      <c r="G11" s="25" t="n"/>
      <c r="H11" s="69" t="n"/>
      <c r="I11" s="69" t="n"/>
      <c r="J11" s="24" t="n"/>
    </row>
    <row r="12">
      <c r="A12" s="25" t="n">
        <v>9</v>
      </c>
      <c r="B12" s="24" t="inlineStr">
        <is>
          <t>Hashing (maps/sets) patterns</t>
        </is>
      </c>
      <c r="C12" s="24" t="inlineStr">
        <is>
          <t>Top K Frequent Elements</t>
        </is>
      </c>
      <c r="D12" s="24" t="inlineStr">
        <is>
          <t>LeetCode</t>
        </is>
      </c>
      <c r="E12" s="25" t="inlineStr">
        <is>
          <t>Medium</t>
        </is>
      </c>
      <c r="F12" s="25" t="inlineStr">
        <is>
          <t>Not started</t>
        </is>
      </c>
      <c r="G12" s="25" t="n"/>
      <c r="H12" s="69" t="n"/>
      <c r="I12" s="69" t="n"/>
      <c r="J12" s="24" t="n"/>
    </row>
    <row r="13">
      <c r="A13" s="25" t="n">
        <v>10</v>
      </c>
      <c r="B13" s="24" t="inlineStr">
        <is>
          <t>Two pointers</t>
        </is>
      </c>
      <c r="C13" s="24" t="inlineStr">
        <is>
          <t>Two Sum II – Input Array Is Sorted</t>
        </is>
      </c>
      <c r="D13" s="24" t="inlineStr">
        <is>
          <t>LeetCode</t>
        </is>
      </c>
      <c r="E13" s="25" t="inlineStr">
        <is>
          <t>Medium</t>
        </is>
      </c>
      <c r="F13" s="25" t="inlineStr">
        <is>
          <t>Not started</t>
        </is>
      </c>
      <c r="G13" s="25" t="n"/>
      <c r="H13" s="69" t="n"/>
      <c r="I13" s="69" t="n"/>
      <c r="J13" s="24" t="n"/>
    </row>
    <row r="14">
      <c r="A14" s="25" t="n">
        <v>11</v>
      </c>
      <c r="B14" s="24" t="inlineStr">
        <is>
          <t>Two pointers</t>
        </is>
      </c>
      <c r="C14" s="24" t="inlineStr">
        <is>
          <t>3Sum</t>
        </is>
      </c>
      <c r="D14" s="24" t="inlineStr">
        <is>
          <t>LeetCode</t>
        </is>
      </c>
      <c r="E14" s="25" t="inlineStr">
        <is>
          <t>Medium</t>
        </is>
      </c>
      <c r="F14" s="25" t="inlineStr">
        <is>
          <t>Not started</t>
        </is>
      </c>
      <c r="G14" s="25" t="n"/>
      <c r="H14" s="69" t="n"/>
      <c r="I14" s="69" t="n"/>
      <c r="J14" s="24" t="n"/>
    </row>
    <row r="15">
      <c r="A15" s="25" t="n">
        <v>12</v>
      </c>
      <c r="B15" s="24" t="inlineStr">
        <is>
          <t>Two pointers</t>
        </is>
      </c>
      <c r="C15" s="24" t="inlineStr">
        <is>
          <t>Container With Most Water</t>
        </is>
      </c>
      <c r="D15" s="24" t="inlineStr">
        <is>
          <t>LeetCode</t>
        </is>
      </c>
      <c r="E15" s="25" t="inlineStr">
        <is>
          <t>Medium</t>
        </is>
      </c>
      <c r="F15" s="25" t="inlineStr">
        <is>
          <t>Not started</t>
        </is>
      </c>
      <c r="G15" s="25" t="n"/>
      <c r="H15" s="69" t="n"/>
      <c r="I15" s="69" t="n"/>
      <c r="J15" s="24" t="n"/>
    </row>
    <row r="16">
      <c r="A16" s="25" t="n">
        <v>13</v>
      </c>
      <c r="B16" s="24" t="inlineStr">
        <is>
          <t>Sliding window</t>
        </is>
      </c>
      <c r="C16" s="24" t="inlineStr">
        <is>
          <t>Maximum Average Subarray I</t>
        </is>
      </c>
      <c r="D16" s="24" t="inlineStr">
        <is>
          <t>LeetCode</t>
        </is>
      </c>
      <c r="E16" s="25" t="inlineStr">
        <is>
          <t>Easy</t>
        </is>
      </c>
      <c r="F16" s="25" t="inlineStr">
        <is>
          <t>Not started</t>
        </is>
      </c>
      <c r="G16" s="25" t="n"/>
      <c r="H16" s="69" t="n"/>
      <c r="I16" s="69" t="n"/>
      <c r="J16" s="24" t="n"/>
    </row>
    <row r="17">
      <c r="A17" s="25" t="n">
        <v>14</v>
      </c>
      <c r="B17" s="24" t="inlineStr">
        <is>
          <t>Sliding window</t>
        </is>
      </c>
      <c r="C17" s="24" t="inlineStr">
        <is>
          <t>Longest Substring Without Repeating Characters</t>
        </is>
      </c>
      <c r="D17" s="24" t="inlineStr">
        <is>
          <t>LeetCode</t>
        </is>
      </c>
      <c r="E17" s="25" t="inlineStr">
        <is>
          <t>Medium</t>
        </is>
      </c>
      <c r="F17" s="25" t="inlineStr">
        <is>
          <t>Not started</t>
        </is>
      </c>
      <c r="G17" s="25" t="n"/>
      <c r="H17" s="69" t="n"/>
      <c r="I17" s="69" t="n"/>
      <c r="J17" s="24" t="n"/>
    </row>
    <row r="18">
      <c r="A18" s="25" t="n">
        <v>15</v>
      </c>
      <c r="B18" s="24" t="inlineStr">
        <is>
          <t>Sliding window</t>
        </is>
      </c>
      <c r="C18" s="24" t="inlineStr">
        <is>
          <t>Longest Repeating Character Replacement</t>
        </is>
      </c>
      <c r="D18" s="24" t="inlineStr">
        <is>
          <t>LeetCode</t>
        </is>
      </c>
      <c r="E18" s="25" t="inlineStr">
        <is>
          <t>Medium</t>
        </is>
      </c>
      <c r="F18" s="25" t="inlineStr">
        <is>
          <t>Not started</t>
        </is>
      </c>
      <c r="G18" s="25" t="n"/>
      <c r="H18" s="69" t="n"/>
      <c r="I18" s="69" t="n"/>
      <c r="J18" s="24" t="n"/>
    </row>
    <row r="19">
      <c r="A19" s="25" t="n">
        <v>16</v>
      </c>
      <c r="B19" s="24" t="inlineStr">
        <is>
          <t>Prefix sum</t>
        </is>
      </c>
      <c r="C19" s="24" t="inlineStr">
        <is>
          <t>Range Sum Query – Immutable</t>
        </is>
      </c>
      <c r="D19" s="24" t="inlineStr">
        <is>
          <t>LeetCode</t>
        </is>
      </c>
      <c r="E19" s="25" t="inlineStr">
        <is>
          <t>Easy</t>
        </is>
      </c>
      <c r="F19" s="25" t="inlineStr">
        <is>
          <t>Not started</t>
        </is>
      </c>
      <c r="G19" s="25" t="n"/>
      <c r="H19" s="69" t="n"/>
      <c r="I19" s="69" t="n"/>
      <c r="J19" s="24" t="n"/>
    </row>
    <row r="20">
      <c r="A20" s="25" t="n">
        <v>17</v>
      </c>
      <c r="B20" s="24" t="inlineStr">
        <is>
          <t>Prefix sum</t>
        </is>
      </c>
      <c r="C20" s="24" t="inlineStr">
        <is>
          <t>Subarray Sum Equals K</t>
        </is>
      </c>
      <c r="D20" s="24" t="inlineStr">
        <is>
          <t>LeetCode</t>
        </is>
      </c>
      <c r="E20" s="25" t="inlineStr">
        <is>
          <t>Medium</t>
        </is>
      </c>
      <c r="F20" s="25" t="inlineStr">
        <is>
          <t>Not started</t>
        </is>
      </c>
      <c r="G20" s="25" t="n"/>
      <c r="H20" s="69" t="n"/>
      <c r="I20" s="69" t="n"/>
      <c r="J20" s="24" t="n"/>
    </row>
    <row r="21">
      <c r="A21" s="25" t="n">
        <v>18</v>
      </c>
      <c r="B21" s="24" t="inlineStr">
        <is>
          <t>Stack (valid parentheses, next greater element)</t>
        </is>
      </c>
      <c r="C21" s="24" t="inlineStr">
        <is>
          <t>Valid Parentheses</t>
        </is>
      </c>
      <c r="D21" s="24" t="inlineStr">
        <is>
          <t>LeetCode</t>
        </is>
      </c>
      <c r="E21" s="25" t="inlineStr">
        <is>
          <t>Easy</t>
        </is>
      </c>
      <c r="F21" s="25" t="inlineStr">
        <is>
          <t>Not started</t>
        </is>
      </c>
      <c r="G21" s="25" t="n"/>
      <c r="H21" s="69" t="n"/>
      <c r="I21" s="69" t="n"/>
      <c r="J21" s="24" t="n"/>
    </row>
    <row r="22">
      <c r="A22" s="25" t="n">
        <v>19</v>
      </c>
      <c r="B22" s="24" t="inlineStr">
        <is>
          <t>Stack (valid parentheses, next greater element)</t>
        </is>
      </c>
      <c r="C22" s="24" t="inlineStr">
        <is>
          <t>Min Stack</t>
        </is>
      </c>
      <c r="D22" s="24" t="inlineStr">
        <is>
          <t>LeetCode</t>
        </is>
      </c>
      <c r="E22" s="25" t="inlineStr">
        <is>
          <t>Medium</t>
        </is>
      </c>
      <c r="F22" s="25" t="inlineStr">
        <is>
          <t>Not started</t>
        </is>
      </c>
      <c r="G22" s="25" t="n"/>
      <c r="H22" s="69" t="n"/>
      <c r="I22" s="69" t="n"/>
      <c r="J22" s="24" t="n"/>
    </row>
    <row r="23">
      <c r="A23" s="25" t="n">
        <v>20</v>
      </c>
      <c r="B23" s="24" t="inlineStr">
        <is>
          <t>Stack (valid parentheses, next greater element)</t>
        </is>
      </c>
      <c r="C23" s="24" t="inlineStr">
        <is>
          <t>Daily Temperatures</t>
        </is>
      </c>
      <c r="D23" s="24" t="inlineStr">
        <is>
          <t>LeetCode</t>
        </is>
      </c>
      <c r="E23" s="25" t="inlineStr">
        <is>
          <t>Medium</t>
        </is>
      </c>
      <c r="F23" s="25" t="inlineStr">
        <is>
          <t>Not started</t>
        </is>
      </c>
      <c r="G23" s="25" t="n"/>
      <c r="H23" s="69" t="n"/>
      <c r="I23" s="69" t="n"/>
      <c r="J23" s="24" t="n"/>
    </row>
    <row r="24">
      <c r="A24" s="25" t="n">
        <v>21</v>
      </c>
      <c r="B24" s="24" t="inlineStr">
        <is>
          <t>Linked list (reverse, middle, cycle)</t>
        </is>
      </c>
      <c r="C24" s="24" t="inlineStr">
        <is>
          <t>Reverse Linked List</t>
        </is>
      </c>
      <c r="D24" s="24" t="inlineStr">
        <is>
          <t>LeetCode</t>
        </is>
      </c>
      <c r="E24" s="25" t="inlineStr">
        <is>
          <t>Easy</t>
        </is>
      </c>
      <c r="F24" s="25" t="inlineStr">
        <is>
          <t>Not started</t>
        </is>
      </c>
      <c r="G24" s="25" t="n"/>
      <c r="H24" s="69" t="n"/>
      <c r="I24" s="69" t="n"/>
      <c r="J24" s="24" t="n"/>
    </row>
    <row r="25">
      <c r="A25" s="25" t="n">
        <v>22</v>
      </c>
      <c r="B25" s="24" t="inlineStr">
        <is>
          <t>Linked list (reverse, middle, cycle)</t>
        </is>
      </c>
      <c r="C25" s="24" t="inlineStr">
        <is>
          <t>Middle of the Linked List</t>
        </is>
      </c>
      <c r="D25" s="24" t="inlineStr">
        <is>
          <t>LeetCode</t>
        </is>
      </c>
      <c r="E25" s="25" t="inlineStr">
        <is>
          <t>Easy</t>
        </is>
      </c>
      <c r="F25" s="25" t="inlineStr">
        <is>
          <t>Not started</t>
        </is>
      </c>
      <c r="G25" s="25" t="n"/>
      <c r="H25" s="69" t="n"/>
      <c r="I25" s="69" t="n"/>
      <c r="J25" s="24" t="n"/>
    </row>
    <row r="26">
      <c r="A26" s="25" t="n">
        <v>23</v>
      </c>
      <c r="B26" s="24" t="inlineStr">
        <is>
          <t>Linked list (reverse, middle, cycle)</t>
        </is>
      </c>
      <c r="C26" s="24" t="inlineStr">
        <is>
          <t>Linked List Cycle</t>
        </is>
      </c>
      <c r="D26" s="24" t="inlineStr">
        <is>
          <t>LeetCode</t>
        </is>
      </c>
      <c r="E26" s="25" t="inlineStr">
        <is>
          <t>Easy</t>
        </is>
      </c>
      <c r="F26" s="25" t="inlineStr">
        <is>
          <t>Not started</t>
        </is>
      </c>
      <c r="G26" s="25" t="n"/>
      <c r="H26" s="69" t="n"/>
      <c r="I26" s="69" t="n"/>
      <c r="J26" s="24" t="n"/>
    </row>
    <row r="27">
      <c r="A27" s="25" t="n">
        <v>24</v>
      </c>
      <c r="B27" s="24" t="inlineStr">
        <is>
          <t>Binary search (and binary search on answer)</t>
        </is>
      </c>
      <c r="C27" s="24" t="inlineStr">
        <is>
          <t>Binary Search</t>
        </is>
      </c>
      <c r="D27" s="24" t="inlineStr">
        <is>
          <t>LeetCode</t>
        </is>
      </c>
      <c r="E27" s="25" t="inlineStr">
        <is>
          <t>Easy</t>
        </is>
      </c>
      <c r="F27" s="25" t="inlineStr">
        <is>
          <t>Not started</t>
        </is>
      </c>
      <c r="G27" s="25" t="n"/>
      <c r="H27" s="69" t="n"/>
      <c r="I27" s="69" t="n"/>
      <c r="J27" s="24" t="n"/>
    </row>
    <row r="28">
      <c r="A28" s="25" t="n">
        <v>25</v>
      </c>
      <c r="B28" s="24" t="inlineStr">
        <is>
          <t>Binary search (and binary search on answer)</t>
        </is>
      </c>
      <c r="C28" s="24" t="inlineStr">
        <is>
          <t>Search a 2D Matrix</t>
        </is>
      </c>
      <c r="D28" s="24" t="inlineStr">
        <is>
          <t>LeetCode</t>
        </is>
      </c>
      <c r="E28" s="25" t="inlineStr">
        <is>
          <t>Medium</t>
        </is>
      </c>
      <c r="F28" s="25" t="inlineStr">
        <is>
          <t>Not started</t>
        </is>
      </c>
      <c r="G28" s="25" t="n"/>
      <c r="H28" s="69" t="n"/>
      <c r="I28" s="69" t="n"/>
      <c r="J28" s="24" t="n"/>
    </row>
    <row r="29">
      <c r="A29" s="25" t="n">
        <v>26</v>
      </c>
      <c r="B29" s="24" t="inlineStr">
        <is>
          <t>Recursion &amp; backtracking basics</t>
        </is>
      </c>
      <c r="C29" s="24" t="inlineStr">
        <is>
          <t>Subsets</t>
        </is>
      </c>
      <c r="D29" s="24" t="inlineStr">
        <is>
          <t>LeetCode</t>
        </is>
      </c>
      <c r="E29" s="25" t="inlineStr">
        <is>
          <t>Medium</t>
        </is>
      </c>
      <c r="F29" s="25" t="inlineStr">
        <is>
          <t>Not started</t>
        </is>
      </c>
      <c r="G29" s="25" t="n"/>
      <c r="H29" s="69" t="n"/>
      <c r="I29" s="69" t="n"/>
      <c r="J29" s="24" t="n"/>
    </row>
    <row r="30">
      <c r="A30" s="25" t="n">
        <v>27</v>
      </c>
      <c r="B30" s="24" t="inlineStr">
        <is>
          <t>Trees: traversals, height, diameter</t>
        </is>
      </c>
      <c r="C30" s="24" t="inlineStr">
        <is>
          <t>Maximum Depth of Binary Tree</t>
        </is>
      </c>
      <c r="D30" s="24" t="inlineStr">
        <is>
          <t>LeetCode</t>
        </is>
      </c>
      <c r="E30" s="25" t="inlineStr">
        <is>
          <t>Easy</t>
        </is>
      </c>
      <c r="F30" s="25" t="inlineStr">
        <is>
          <t>Not started</t>
        </is>
      </c>
      <c r="G30" s="25" t="n"/>
      <c r="H30" s="69" t="n"/>
      <c r="I30" s="69" t="n"/>
      <c r="J30" s="24" t="n"/>
    </row>
    <row r="31">
      <c r="A31" s="25" t="n">
        <v>28</v>
      </c>
      <c r="B31" s="24" t="inlineStr">
        <is>
          <t>Trees: traversals, height, diameter</t>
        </is>
      </c>
      <c r="C31" s="24" t="inlineStr">
        <is>
          <t>Invert Binary Tree</t>
        </is>
      </c>
      <c r="D31" s="24" t="inlineStr">
        <is>
          <t>LeetCode</t>
        </is>
      </c>
      <c r="E31" s="25" t="inlineStr">
        <is>
          <t>Easy</t>
        </is>
      </c>
      <c r="F31" s="25" t="inlineStr">
        <is>
          <t>Not started</t>
        </is>
      </c>
      <c r="G31" s="25" t="n"/>
      <c r="H31" s="69" t="n"/>
      <c r="I31" s="69" t="n"/>
      <c r="J31" s="24" t="n"/>
    </row>
    <row r="32">
      <c r="A32" s="25" t="n">
        <v>29</v>
      </c>
      <c r="B32" s="24" t="inlineStr">
        <is>
          <t>Graphs: BFS, DFS, connected components</t>
        </is>
      </c>
      <c r="C32" s="24" t="inlineStr">
        <is>
          <t>Number of Islands</t>
        </is>
      </c>
      <c r="D32" s="24" t="inlineStr">
        <is>
          <t>LeetCode</t>
        </is>
      </c>
      <c r="E32" s="25" t="inlineStr">
        <is>
          <t>Medium</t>
        </is>
      </c>
      <c r="F32" s="25" t="inlineStr">
        <is>
          <t>Not started</t>
        </is>
      </c>
      <c r="G32" s="25" t="n"/>
      <c r="H32" s="69" t="n"/>
      <c r="I32" s="69" t="n"/>
      <c r="J32" s="24" t="n"/>
    </row>
    <row r="33">
      <c r="A33" s="25" t="n">
        <v>30</v>
      </c>
      <c r="B33" s="24" t="inlineStr">
        <is>
          <t>Dynamic programming intro (climbing stairs, knapsack)</t>
        </is>
      </c>
      <c r="C33" s="24" t="inlineStr">
        <is>
          <t>Climbing Stairs</t>
        </is>
      </c>
      <c r="D33" s="24" t="inlineStr">
        <is>
          <t>LeetCode</t>
        </is>
      </c>
      <c r="E33" s="25" t="inlineStr">
        <is>
          <t>Easy</t>
        </is>
      </c>
      <c r="F33" s="25" t="inlineStr">
        <is>
          <t>Not started</t>
        </is>
      </c>
      <c r="G33" s="25" t="n"/>
      <c r="H33" s="69" t="n"/>
      <c r="I33" s="69" t="n"/>
      <c r="J33" s="24" t="n"/>
    </row>
    <row r="34">
      <c r="A34" s="25" t="n">
        <v>31</v>
      </c>
      <c r="B34" s="24" t="inlineStr">
        <is>
          <t>Arrays &amp; running sum</t>
        </is>
      </c>
      <c r="C34" s="24" t="n"/>
      <c r="D34" s="24" t="n"/>
      <c r="E34" s="25" t="n"/>
      <c r="F34" s="25" t="inlineStr">
        <is>
          <t>Not started</t>
        </is>
      </c>
      <c r="G34" s="25" t="n"/>
      <c r="H34" s="69" t="n"/>
      <c r="I34" s="69" t="n"/>
      <c r="J34" s="24" t="n"/>
    </row>
    <row r="35">
      <c r="A35" s="25" t="n">
        <v>32</v>
      </c>
      <c r="B35" s="24" t="inlineStr">
        <is>
          <t>Strings &amp; frequency counting</t>
        </is>
      </c>
      <c r="C35" s="24" t="n"/>
      <c r="D35" s="24" t="n"/>
      <c r="E35" s="25" t="n"/>
      <c r="F35" s="25" t="inlineStr">
        <is>
          <t>Not started</t>
        </is>
      </c>
      <c r="G35" s="25" t="n"/>
      <c r="H35" s="69" t="n"/>
      <c r="I35" s="69" t="n"/>
      <c r="J35" s="24" t="n"/>
    </row>
    <row r="36">
      <c r="A36" s="25" t="n">
        <v>33</v>
      </c>
      <c r="B36" s="24" t="inlineStr">
        <is>
          <t>Hashing (maps/sets) patterns</t>
        </is>
      </c>
      <c r="C36" s="24" t="n"/>
      <c r="D36" s="24" t="n"/>
      <c r="E36" s="25" t="n"/>
      <c r="F36" s="25" t="inlineStr">
        <is>
          <t>Not started</t>
        </is>
      </c>
      <c r="G36" s="25" t="n"/>
      <c r="H36" s="69" t="n"/>
      <c r="I36" s="69" t="n"/>
      <c r="J36" s="24" t="n"/>
    </row>
    <row r="37">
      <c r="A37" s="25" t="n">
        <v>34</v>
      </c>
      <c r="B37" s="24" t="inlineStr">
        <is>
          <t>Two pointers</t>
        </is>
      </c>
      <c r="C37" s="24" t="n"/>
      <c r="D37" s="24" t="n"/>
      <c r="E37" s="25" t="n"/>
      <c r="F37" s="25" t="inlineStr">
        <is>
          <t>Not started</t>
        </is>
      </c>
      <c r="G37" s="25" t="n"/>
      <c r="H37" s="69" t="n"/>
      <c r="I37" s="69" t="n"/>
      <c r="J37" s="24" t="n"/>
    </row>
    <row r="38">
      <c r="A38" s="25" t="n">
        <v>35</v>
      </c>
      <c r="B38" s="24" t="inlineStr">
        <is>
          <t>Sliding window</t>
        </is>
      </c>
      <c r="C38" s="24" t="n"/>
      <c r="D38" s="24" t="n"/>
      <c r="E38" s="25" t="n"/>
      <c r="F38" s="25" t="inlineStr">
        <is>
          <t>Not started</t>
        </is>
      </c>
      <c r="G38" s="25" t="n"/>
      <c r="H38" s="69" t="n"/>
      <c r="I38" s="69" t="n"/>
      <c r="J38" s="24" t="n"/>
    </row>
    <row r="39">
      <c r="A39" s="25" t="n">
        <v>36</v>
      </c>
      <c r="B39" s="24" t="inlineStr">
        <is>
          <t>Prefix sum</t>
        </is>
      </c>
      <c r="C39" s="24" t="n"/>
      <c r="D39" s="24" t="n"/>
      <c r="E39" s="25" t="n"/>
      <c r="F39" s="25" t="inlineStr">
        <is>
          <t>Not started</t>
        </is>
      </c>
      <c r="G39" s="25" t="n"/>
      <c r="H39" s="69" t="n"/>
      <c r="I39" s="69" t="n"/>
      <c r="J39" s="24" t="n"/>
    </row>
    <row r="40">
      <c r="A40" s="25" t="n">
        <v>37</v>
      </c>
      <c r="B40" s="24" t="inlineStr">
        <is>
          <t>Stack (valid parentheses, next greater element)</t>
        </is>
      </c>
      <c r="C40" s="24" t="n"/>
      <c r="D40" s="24" t="n"/>
      <c r="E40" s="25" t="n"/>
      <c r="F40" s="25" t="inlineStr">
        <is>
          <t>Not started</t>
        </is>
      </c>
      <c r="G40" s="25" t="n"/>
      <c r="H40" s="69" t="n"/>
      <c r="I40" s="69" t="n"/>
      <c r="J40" s="24" t="n"/>
    </row>
    <row r="41">
      <c r="A41" s="25" t="n">
        <v>38</v>
      </c>
      <c r="B41" s="24" t="inlineStr">
        <is>
          <t>Queue &amp; deque basics</t>
        </is>
      </c>
      <c r="C41" s="24" t="n"/>
      <c r="D41" s="24" t="n"/>
      <c r="E41" s="25" t="n"/>
      <c r="F41" s="25" t="inlineStr">
        <is>
          <t>Not started</t>
        </is>
      </c>
      <c r="G41" s="25" t="n"/>
      <c r="H41" s="69" t="n"/>
      <c r="I41" s="69" t="n"/>
      <c r="J41" s="24" t="n"/>
    </row>
    <row r="42">
      <c r="A42" s="25" t="n">
        <v>39</v>
      </c>
      <c r="B42" s="24" t="inlineStr">
        <is>
          <t>Linked list (reverse, middle, cycle)</t>
        </is>
      </c>
      <c r="C42" s="24" t="n"/>
      <c r="D42" s="24" t="n"/>
      <c r="E42" s="25" t="n"/>
      <c r="F42" s="25" t="inlineStr">
        <is>
          <t>Not started</t>
        </is>
      </c>
      <c r="G42" s="25" t="n"/>
      <c r="H42" s="69" t="n"/>
      <c r="I42" s="69" t="n"/>
      <c r="J42" s="24" t="n"/>
    </row>
    <row r="43">
      <c r="A43" s="25" t="n">
        <v>40</v>
      </c>
      <c r="B43" s="24" t="inlineStr">
        <is>
          <t>Binary search (and binary search on answer)</t>
        </is>
      </c>
      <c r="C43" s="24" t="n"/>
      <c r="D43" s="24" t="n"/>
      <c r="E43" s="25" t="n"/>
      <c r="F43" s="25" t="inlineStr">
        <is>
          <t>Not started</t>
        </is>
      </c>
      <c r="G43" s="25" t="n"/>
      <c r="H43" s="69" t="n"/>
      <c r="I43" s="69" t="n"/>
      <c r="J43" s="24" t="n"/>
    </row>
    <row r="44">
      <c r="A44" s="25" t="n">
        <v>41</v>
      </c>
      <c r="B44" s="24" t="inlineStr">
        <is>
          <t>Sorting: bubble/selection/insertion + merge/quick idea</t>
        </is>
      </c>
      <c r="C44" s="24" t="n"/>
      <c r="D44" s="24" t="n"/>
      <c r="E44" s="25" t="n"/>
      <c r="F44" s="25" t="inlineStr">
        <is>
          <t>Not started</t>
        </is>
      </c>
      <c r="G44" s="25" t="n"/>
      <c r="H44" s="69" t="n"/>
      <c r="I44" s="69" t="n"/>
      <c r="J44" s="24" t="n"/>
    </row>
    <row r="45">
      <c r="A45" s="25" t="n">
        <v>42</v>
      </c>
      <c r="B45" s="24" t="inlineStr">
        <is>
          <t>Recursion &amp; backtracking basics</t>
        </is>
      </c>
      <c r="C45" s="24" t="n"/>
      <c r="D45" s="24" t="n"/>
      <c r="E45" s="25" t="n"/>
      <c r="F45" s="25" t="inlineStr">
        <is>
          <t>Not started</t>
        </is>
      </c>
      <c r="G45" s="25" t="n"/>
      <c r="H45" s="69" t="n"/>
      <c r="I45" s="69" t="n"/>
      <c r="J45" s="24" t="n"/>
    </row>
    <row r="46">
      <c r="A46" s="25" t="n">
        <v>43</v>
      </c>
      <c r="B46" s="24" t="inlineStr">
        <is>
          <t>Trees: traversals, height, diameter</t>
        </is>
      </c>
      <c r="C46" s="24" t="n"/>
      <c r="D46" s="24" t="n"/>
      <c r="E46" s="25" t="n"/>
      <c r="F46" s="25" t="inlineStr">
        <is>
          <t>Not started</t>
        </is>
      </c>
      <c r="G46" s="25" t="n"/>
      <c r="H46" s="69" t="n"/>
      <c r="I46" s="69" t="n"/>
      <c r="J46" s="24" t="n"/>
    </row>
    <row r="47">
      <c r="A47" s="25" t="n">
        <v>44</v>
      </c>
      <c r="B47" s="24" t="inlineStr">
        <is>
          <t>BST basics</t>
        </is>
      </c>
      <c r="C47" s="24" t="n"/>
      <c r="D47" s="24" t="n"/>
      <c r="E47" s="25" t="n"/>
      <c r="F47" s="25" t="inlineStr">
        <is>
          <t>Not started</t>
        </is>
      </c>
      <c r="G47" s="25" t="n"/>
      <c r="H47" s="69" t="n"/>
      <c r="I47" s="69" t="n"/>
      <c r="J47" s="24" t="n"/>
    </row>
    <row r="48">
      <c r="A48" s="25" t="n">
        <v>45</v>
      </c>
      <c r="B48" s="24" t="inlineStr">
        <is>
          <t>Heaps / priority queue basics</t>
        </is>
      </c>
      <c r="C48" s="24" t="n"/>
      <c r="D48" s="24" t="n"/>
      <c r="E48" s="25" t="n"/>
      <c r="F48" s="25" t="inlineStr">
        <is>
          <t>Not started</t>
        </is>
      </c>
      <c r="G48" s="25" t="n"/>
      <c r="H48" s="69" t="n"/>
      <c r="I48" s="69" t="n"/>
      <c r="J48" s="24" t="n"/>
    </row>
    <row r="49">
      <c r="A49" s="25" t="n">
        <v>46</v>
      </c>
      <c r="B49" s="24" t="inlineStr">
        <is>
          <t>Graphs: BFS, DFS, connected components</t>
        </is>
      </c>
      <c r="C49" s="24" t="n"/>
      <c r="D49" s="24" t="n"/>
      <c r="E49" s="25" t="n"/>
      <c r="F49" s="25" t="inlineStr">
        <is>
          <t>Not started</t>
        </is>
      </c>
      <c r="G49" s="25" t="n"/>
      <c r="H49" s="69" t="n"/>
      <c r="I49" s="69" t="n"/>
      <c r="J49" s="24" t="n"/>
    </row>
    <row r="50">
      <c r="A50" s="25" t="n">
        <v>47</v>
      </c>
      <c r="B50" s="24" t="inlineStr">
        <is>
          <t>Greedy basics</t>
        </is>
      </c>
      <c r="C50" s="24" t="n"/>
      <c r="D50" s="24" t="n"/>
      <c r="E50" s="25" t="n"/>
      <c r="F50" s="25" t="inlineStr">
        <is>
          <t>Not started</t>
        </is>
      </c>
      <c r="G50" s="25" t="n"/>
      <c r="H50" s="69" t="n"/>
      <c r="I50" s="69" t="n"/>
      <c r="J50" s="24" t="n"/>
    </row>
    <row r="51">
      <c r="A51" s="25" t="n">
        <v>48</v>
      </c>
      <c r="B51" s="24" t="inlineStr">
        <is>
          <t>Dynamic programming intro (climbing stairs, knapsack)</t>
        </is>
      </c>
      <c r="C51" s="24" t="n"/>
      <c r="D51" s="24" t="n"/>
      <c r="E51" s="25" t="n"/>
      <c r="F51" s="25" t="inlineStr">
        <is>
          <t>Not started</t>
        </is>
      </c>
      <c r="G51" s="25" t="n"/>
      <c r="H51" s="69" t="n"/>
      <c r="I51" s="69" t="n"/>
      <c r="J51" s="24" t="n"/>
    </row>
    <row r="52">
      <c r="A52" s="25" t="n">
        <v>49</v>
      </c>
      <c r="B52" s="24" t="inlineStr">
        <is>
          <t>Bit manipulation basics</t>
        </is>
      </c>
      <c r="C52" s="24" t="n"/>
      <c r="D52" s="24" t="n"/>
      <c r="E52" s="25" t="n"/>
      <c r="F52" s="25" t="inlineStr">
        <is>
          <t>Not started</t>
        </is>
      </c>
      <c r="G52" s="25" t="n"/>
      <c r="H52" s="69" t="n"/>
      <c r="I52" s="69" t="n"/>
      <c r="J52" s="24" t="n"/>
    </row>
    <row r="53">
      <c r="A53" s="25" t="n">
        <v>50</v>
      </c>
      <c r="B53" s="24" t="inlineStr">
        <is>
          <t>Arrays &amp; running sum</t>
        </is>
      </c>
      <c r="C53" s="24" t="n"/>
      <c r="D53" s="24" t="n"/>
      <c r="E53" s="25" t="n"/>
      <c r="F53" s="25" t="inlineStr">
        <is>
          <t>Not started</t>
        </is>
      </c>
      <c r="G53" s="25" t="n"/>
      <c r="H53" s="69" t="n"/>
      <c r="I53" s="69" t="n"/>
      <c r="J53" s="24" t="n"/>
    </row>
    <row r="54">
      <c r="A54" s="25" t="n">
        <v>51</v>
      </c>
      <c r="B54" s="24" t="inlineStr">
        <is>
          <t>Strings &amp; frequency counting</t>
        </is>
      </c>
      <c r="C54" s="24" t="n"/>
      <c r="D54" s="24" t="n"/>
      <c r="E54" s="25" t="n"/>
      <c r="F54" s="25" t="inlineStr">
        <is>
          <t>Not started</t>
        </is>
      </c>
      <c r="G54" s="25" t="n"/>
      <c r="H54" s="69" t="n"/>
      <c r="I54" s="69" t="n"/>
      <c r="J54" s="24" t="n"/>
    </row>
    <row r="55">
      <c r="A55" s="25" t="n">
        <v>52</v>
      </c>
      <c r="B55" s="24" t="inlineStr">
        <is>
          <t>Hashing (maps/sets) patterns</t>
        </is>
      </c>
      <c r="C55" s="24" t="n"/>
      <c r="D55" s="24" t="n"/>
      <c r="E55" s="25" t="n"/>
      <c r="F55" s="25" t="inlineStr">
        <is>
          <t>Not started</t>
        </is>
      </c>
      <c r="G55" s="25" t="n"/>
      <c r="H55" s="69" t="n"/>
      <c r="I55" s="69" t="n"/>
      <c r="J55" s="24" t="n"/>
    </row>
    <row r="56">
      <c r="A56" s="25" t="n">
        <v>53</v>
      </c>
      <c r="B56" s="24" t="inlineStr">
        <is>
          <t>Two pointers</t>
        </is>
      </c>
      <c r="C56" s="24" t="n"/>
      <c r="D56" s="24" t="n"/>
      <c r="E56" s="25" t="n"/>
      <c r="F56" s="25" t="inlineStr">
        <is>
          <t>Not started</t>
        </is>
      </c>
      <c r="G56" s="25" t="n"/>
      <c r="H56" s="69" t="n"/>
      <c r="I56" s="69" t="n"/>
      <c r="J56" s="24" t="n"/>
    </row>
    <row r="57">
      <c r="A57" s="25" t="n">
        <v>54</v>
      </c>
      <c r="B57" s="24" t="inlineStr">
        <is>
          <t>Sliding window</t>
        </is>
      </c>
      <c r="C57" s="24" t="n"/>
      <c r="D57" s="24" t="n"/>
      <c r="E57" s="25" t="n"/>
      <c r="F57" s="25" t="inlineStr">
        <is>
          <t>Not started</t>
        </is>
      </c>
      <c r="G57" s="25" t="n"/>
      <c r="H57" s="69" t="n"/>
      <c r="I57" s="69" t="n"/>
      <c r="J57" s="24" t="n"/>
    </row>
    <row r="58">
      <c r="A58" s="25" t="n">
        <v>55</v>
      </c>
      <c r="B58" s="24" t="inlineStr">
        <is>
          <t>Prefix sum</t>
        </is>
      </c>
      <c r="C58" s="24" t="n"/>
      <c r="D58" s="24" t="n"/>
      <c r="E58" s="25" t="n"/>
      <c r="F58" s="25" t="inlineStr">
        <is>
          <t>Not started</t>
        </is>
      </c>
      <c r="G58" s="25" t="n"/>
      <c r="H58" s="69" t="n"/>
      <c r="I58" s="69" t="n"/>
      <c r="J58" s="24" t="n"/>
    </row>
    <row r="59">
      <c r="A59" s="25" t="n">
        <v>56</v>
      </c>
      <c r="B59" s="24" t="inlineStr">
        <is>
          <t>Stack (valid parentheses, next greater element)</t>
        </is>
      </c>
      <c r="C59" s="24" t="n"/>
      <c r="D59" s="24" t="n"/>
      <c r="E59" s="25" t="n"/>
      <c r="F59" s="25" t="inlineStr">
        <is>
          <t>Not started</t>
        </is>
      </c>
      <c r="G59" s="25" t="n"/>
      <c r="H59" s="69" t="n"/>
      <c r="I59" s="69" t="n"/>
      <c r="J59" s="24" t="n"/>
    </row>
    <row r="60">
      <c r="A60" s="25" t="n">
        <v>57</v>
      </c>
      <c r="B60" s="24" t="inlineStr">
        <is>
          <t>Queue &amp; deque basics</t>
        </is>
      </c>
      <c r="C60" s="24" t="n"/>
      <c r="D60" s="24" t="n"/>
      <c r="E60" s="25" t="n"/>
      <c r="F60" s="25" t="inlineStr">
        <is>
          <t>Not started</t>
        </is>
      </c>
      <c r="G60" s="25" t="n"/>
      <c r="H60" s="69" t="n"/>
      <c r="I60" s="69" t="n"/>
      <c r="J60" s="24" t="n"/>
    </row>
    <row r="61">
      <c r="A61" s="25" t="n">
        <v>58</v>
      </c>
      <c r="B61" s="24" t="inlineStr">
        <is>
          <t>Linked list (reverse, middle, cycle)</t>
        </is>
      </c>
      <c r="C61" s="24" t="n"/>
      <c r="D61" s="24" t="n"/>
      <c r="E61" s="25" t="n"/>
      <c r="F61" s="25" t="inlineStr">
        <is>
          <t>Not started</t>
        </is>
      </c>
      <c r="G61" s="25" t="n"/>
      <c r="H61" s="69" t="n"/>
      <c r="I61" s="69" t="n"/>
      <c r="J61" s="24" t="n"/>
    </row>
    <row r="62">
      <c r="A62" s="25" t="n">
        <v>59</v>
      </c>
      <c r="B62" s="24" t="inlineStr">
        <is>
          <t>Binary search (and binary search on answer)</t>
        </is>
      </c>
      <c r="C62" s="24" t="n"/>
      <c r="D62" s="24" t="n"/>
      <c r="E62" s="25" t="n"/>
      <c r="F62" s="25" t="inlineStr">
        <is>
          <t>Not started</t>
        </is>
      </c>
      <c r="G62" s="25" t="n"/>
      <c r="H62" s="69" t="n"/>
      <c r="I62" s="69" t="n"/>
      <c r="J62" s="24" t="n"/>
    </row>
    <row r="63">
      <c r="A63" s="25" t="n">
        <v>60</v>
      </c>
      <c r="B63" s="24" t="inlineStr">
        <is>
          <t>Sorting: bubble/selection/insertion + merge/quick idea</t>
        </is>
      </c>
      <c r="C63" s="24" t="n"/>
      <c r="D63" s="24" t="n"/>
      <c r="E63" s="25" t="n"/>
      <c r="F63" s="25" t="inlineStr">
        <is>
          <t>Not started</t>
        </is>
      </c>
      <c r="G63" s="25" t="n"/>
      <c r="H63" s="69" t="n"/>
      <c r="I63" s="69" t="n"/>
      <c r="J63" s="24" t="n"/>
    </row>
    <row r="64">
      <c r="A64" s="25" t="n">
        <v>61</v>
      </c>
      <c r="B64" s="24" t="inlineStr">
        <is>
          <t>Recursion &amp; backtracking basics</t>
        </is>
      </c>
      <c r="C64" s="24" t="n"/>
      <c r="D64" s="24" t="n"/>
      <c r="E64" s="25" t="n"/>
      <c r="F64" s="25" t="inlineStr">
        <is>
          <t>Not started</t>
        </is>
      </c>
      <c r="G64" s="25" t="n"/>
      <c r="H64" s="69" t="n"/>
      <c r="I64" s="69" t="n"/>
      <c r="J64" s="24" t="n"/>
    </row>
    <row r="65">
      <c r="A65" s="25" t="n">
        <v>62</v>
      </c>
      <c r="B65" s="24" t="inlineStr">
        <is>
          <t>Trees: traversals, height, diameter</t>
        </is>
      </c>
      <c r="C65" s="24" t="n"/>
      <c r="D65" s="24" t="n"/>
      <c r="E65" s="25" t="n"/>
      <c r="F65" s="25" t="inlineStr">
        <is>
          <t>Not started</t>
        </is>
      </c>
      <c r="G65" s="25" t="n"/>
      <c r="H65" s="69" t="n"/>
      <c r="I65" s="69" t="n"/>
      <c r="J65" s="24" t="n"/>
    </row>
    <row r="66">
      <c r="A66" s="25" t="n">
        <v>63</v>
      </c>
      <c r="B66" s="24" t="inlineStr">
        <is>
          <t>BST basics</t>
        </is>
      </c>
      <c r="C66" s="24" t="n"/>
      <c r="D66" s="24" t="n"/>
      <c r="E66" s="25" t="n"/>
      <c r="F66" s="25" t="inlineStr">
        <is>
          <t>Not started</t>
        </is>
      </c>
      <c r="G66" s="25" t="n"/>
      <c r="H66" s="69" t="n"/>
      <c r="I66" s="69" t="n"/>
      <c r="J66" s="24" t="n"/>
    </row>
    <row r="67">
      <c r="A67" s="25" t="n">
        <v>64</v>
      </c>
      <c r="B67" s="24" t="inlineStr">
        <is>
          <t>Heaps / priority queue basics</t>
        </is>
      </c>
      <c r="C67" s="24" t="n"/>
      <c r="D67" s="24" t="n"/>
      <c r="E67" s="25" t="n"/>
      <c r="F67" s="25" t="inlineStr">
        <is>
          <t>Not started</t>
        </is>
      </c>
      <c r="G67" s="25" t="n"/>
      <c r="H67" s="69" t="n"/>
      <c r="I67" s="69" t="n"/>
      <c r="J67" s="24" t="n"/>
    </row>
    <row r="68">
      <c r="A68" s="25" t="n">
        <v>65</v>
      </c>
      <c r="B68" s="24" t="inlineStr">
        <is>
          <t>Graphs: BFS, DFS, connected components</t>
        </is>
      </c>
      <c r="C68" s="24" t="n"/>
      <c r="D68" s="24" t="n"/>
      <c r="E68" s="25" t="n"/>
      <c r="F68" s="25" t="inlineStr">
        <is>
          <t>Not started</t>
        </is>
      </c>
      <c r="G68" s="25" t="n"/>
      <c r="H68" s="69" t="n"/>
      <c r="I68" s="69" t="n"/>
      <c r="J68" s="24" t="n"/>
    </row>
    <row r="69">
      <c r="A69" s="25" t="n">
        <v>66</v>
      </c>
      <c r="B69" s="24" t="inlineStr">
        <is>
          <t>Greedy basics</t>
        </is>
      </c>
      <c r="C69" s="24" t="n"/>
      <c r="D69" s="24" t="n"/>
      <c r="E69" s="25" t="n"/>
      <c r="F69" s="25" t="inlineStr">
        <is>
          <t>Not started</t>
        </is>
      </c>
      <c r="G69" s="25" t="n"/>
      <c r="H69" s="69" t="n"/>
      <c r="I69" s="69" t="n"/>
      <c r="J69" s="24" t="n"/>
    </row>
    <row r="70">
      <c r="A70" s="25" t="n">
        <v>67</v>
      </c>
      <c r="B70" s="24" t="inlineStr">
        <is>
          <t>Dynamic programming intro (climbing stairs, knapsack)</t>
        </is>
      </c>
      <c r="C70" s="24" t="n"/>
      <c r="D70" s="24" t="n"/>
      <c r="E70" s="25" t="n"/>
      <c r="F70" s="25" t="inlineStr">
        <is>
          <t>Not started</t>
        </is>
      </c>
      <c r="G70" s="25" t="n"/>
      <c r="H70" s="69" t="n"/>
      <c r="I70" s="69" t="n"/>
      <c r="J70" s="24" t="n"/>
    </row>
    <row r="71">
      <c r="A71" s="25" t="n">
        <v>68</v>
      </c>
      <c r="B71" s="24" t="inlineStr">
        <is>
          <t>Bit manipulation basics</t>
        </is>
      </c>
      <c r="C71" s="24" t="n"/>
      <c r="D71" s="24" t="n"/>
      <c r="E71" s="25" t="n"/>
      <c r="F71" s="25" t="inlineStr">
        <is>
          <t>Not started</t>
        </is>
      </c>
      <c r="G71" s="25" t="n"/>
      <c r="H71" s="69" t="n"/>
      <c r="I71" s="69" t="n"/>
      <c r="J71" s="24" t="n"/>
    </row>
    <row r="72">
      <c r="A72" s="25" t="n">
        <v>69</v>
      </c>
      <c r="B72" s="24" t="inlineStr">
        <is>
          <t>Arrays &amp; running sum</t>
        </is>
      </c>
      <c r="C72" s="24" t="n"/>
      <c r="D72" s="24" t="n"/>
      <c r="E72" s="25" t="n"/>
      <c r="F72" s="25" t="inlineStr">
        <is>
          <t>Not started</t>
        </is>
      </c>
      <c r="G72" s="25" t="n"/>
      <c r="H72" s="69" t="n"/>
      <c r="I72" s="69" t="n"/>
      <c r="J72" s="24" t="n"/>
    </row>
    <row r="73">
      <c r="A73" s="25" t="n">
        <v>70</v>
      </c>
      <c r="B73" s="24" t="inlineStr">
        <is>
          <t>Strings &amp; frequency counting</t>
        </is>
      </c>
      <c r="C73" s="24" t="n"/>
      <c r="D73" s="24" t="n"/>
      <c r="E73" s="25" t="n"/>
      <c r="F73" s="25" t="inlineStr">
        <is>
          <t>Not started</t>
        </is>
      </c>
      <c r="G73" s="25" t="n"/>
      <c r="H73" s="69" t="n"/>
      <c r="I73" s="69" t="n"/>
      <c r="J73" s="24" t="n"/>
    </row>
    <row r="74">
      <c r="A74" s="25" t="n">
        <v>71</v>
      </c>
      <c r="B74" s="24" t="inlineStr">
        <is>
          <t>Hashing (maps/sets) patterns</t>
        </is>
      </c>
      <c r="C74" s="24" t="n"/>
      <c r="D74" s="24" t="n"/>
      <c r="E74" s="25" t="n"/>
      <c r="F74" s="25" t="inlineStr">
        <is>
          <t>Not started</t>
        </is>
      </c>
      <c r="G74" s="25" t="n"/>
      <c r="H74" s="69" t="n"/>
      <c r="I74" s="69" t="n"/>
      <c r="J74" s="24" t="n"/>
    </row>
    <row r="75">
      <c r="A75" s="25" t="n">
        <v>72</v>
      </c>
      <c r="B75" s="24" t="inlineStr">
        <is>
          <t>Two pointers</t>
        </is>
      </c>
      <c r="C75" s="24" t="n"/>
      <c r="D75" s="24" t="n"/>
      <c r="E75" s="25" t="n"/>
      <c r="F75" s="25" t="inlineStr">
        <is>
          <t>Not started</t>
        </is>
      </c>
      <c r="G75" s="25" t="n"/>
      <c r="H75" s="69" t="n"/>
      <c r="I75" s="69" t="n"/>
      <c r="J75" s="24" t="n"/>
    </row>
    <row r="76">
      <c r="A76" s="25" t="n">
        <v>73</v>
      </c>
      <c r="B76" s="24" t="inlineStr">
        <is>
          <t>Sliding window</t>
        </is>
      </c>
      <c r="C76" s="24" t="n"/>
      <c r="D76" s="24" t="n"/>
      <c r="E76" s="25" t="n"/>
      <c r="F76" s="25" t="inlineStr">
        <is>
          <t>Not started</t>
        </is>
      </c>
      <c r="G76" s="25" t="n"/>
      <c r="H76" s="69" t="n"/>
      <c r="I76" s="69" t="n"/>
      <c r="J76" s="24" t="n"/>
    </row>
    <row r="77">
      <c r="A77" s="25" t="n">
        <v>74</v>
      </c>
      <c r="B77" s="24" t="inlineStr">
        <is>
          <t>Prefix sum</t>
        </is>
      </c>
      <c r="C77" s="24" t="n"/>
      <c r="D77" s="24" t="n"/>
      <c r="E77" s="25" t="n"/>
      <c r="F77" s="25" t="inlineStr">
        <is>
          <t>Not started</t>
        </is>
      </c>
      <c r="G77" s="25" t="n"/>
      <c r="H77" s="69" t="n"/>
      <c r="I77" s="69" t="n"/>
      <c r="J77" s="24" t="n"/>
    </row>
    <row r="78">
      <c r="A78" s="25" t="n">
        <v>75</v>
      </c>
      <c r="B78" s="24" t="inlineStr">
        <is>
          <t>Stack (valid parentheses, next greater element)</t>
        </is>
      </c>
      <c r="C78" s="24" t="n"/>
      <c r="D78" s="24" t="n"/>
      <c r="E78" s="25" t="n"/>
      <c r="F78" s="25" t="inlineStr">
        <is>
          <t>Not started</t>
        </is>
      </c>
      <c r="G78" s="25" t="n"/>
      <c r="H78" s="69" t="n"/>
      <c r="I78" s="69" t="n"/>
      <c r="J78" s="24" t="n"/>
    </row>
    <row r="79">
      <c r="A79" s="25" t="n">
        <v>76</v>
      </c>
      <c r="B79" s="24" t="inlineStr">
        <is>
          <t>Queue &amp; deque basics</t>
        </is>
      </c>
      <c r="C79" s="24" t="n"/>
      <c r="D79" s="24" t="n"/>
      <c r="E79" s="25" t="n"/>
      <c r="F79" s="25" t="inlineStr">
        <is>
          <t>Not started</t>
        </is>
      </c>
      <c r="G79" s="25" t="n"/>
      <c r="H79" s="69" t="n"/>
      <c r="I79" s="69" t="n"/>
      <c r="J79" s="24" t="n"/>
    </row>
    <row r="80">
      <c r="A80" s="25" t="n">
        <v>77</v>
      </c>
      <c r="B80" s="24" t="inlineStr">
        <is>
          <t>Linked list (reverse, middle, cycle)</t>
        </is>
      </c>
      <c r="C80" s="24" t="n"/>
      <c r="D80" s="24" t="n"/>
      <c r="E80" s="25" t="n"/>
      <c r="F80" s="25" t="inlineStr">
        <is>
          <t>Not started</t>
        </is>
      </c>
      <c r="G80" s="25" t="n"/>
      <c r="H80" s="69" t="n"/>
      <c r="I80" s="69" t="n"/>
      <c r="J80" s="24" t="n"/>
    </row>
    <row r="81">
      <c r="A81" s="25" t="n">
        <v>78</v>
      </c>
      <c r="B81" s="24" t="inlineStr">
        <is>
          <t>Binary search (and binary search on answer)</t>
        </is>
      </c>
      <c r="C81" s="24" t="n"/>
      <c r="D81" s="24" t="n"/>
      <c r="E81" s="25" t="n"/>
      <c r="F81" s="25" t="inlineStr">
        <is>
          <t>Not started</t>
        </is>
      </c>
      <c r="G81" s="25" t="n"/>
      <c r="H81" s="69" t="n"/>
      <c r="I81" s="69" t="n"/>
      <c r="J81" s="24" t="n"/>
    </row>
    <row r="82">
      <c r="A82" s="25" t="n">
        <v>79</v>
      </c>
      <c r="B82" s="24" t="inlineStr">
        <is>
          <t>Sorting: bubble/selection/insertion + merge/quick idea</t>
        </is>
      </c>
      <c r="C82" s="24" t="n"/>
      <c r="D82" s="24" t="n"/>
      <c r="E82" s="25" t="n"/>
      <c r="F82" s="25" t="inlineStr">
        <is>
          <t>Not started</t>
        </is>
      </c>
      <c r="G82" s="25" t="n"/>
      <c r="H82" s="69" t="n"/>
      <c r="I82" s="69" t="n"/>
      <c r="J82" s="24" t="n"/>
    </row>
    <row r="83">
      <c r="A83" s="25" t="n">
        <v>80</v>
      </c>
      <c r="B83" s="24" t="inlineStr">
        <is>
          <t>Recursion &amp; backtracking basics</t>
        </is>
      </c>
      <c r="C83" s="24" t="n"/>
      <c r="D83" s="24" t="n"/>
      <c r="E83" s="25" t="n"/>
      <c r="F83" s="25" t="inlineStr">
        <is>
          <t>Not started</t>
        </is>
      </c>
      <c r="G83" s="25" t="n"/>
      <c r="H83" s="69" t="n"/>
      <c r="I83" s="69" t="n"/>
      <c r="J83" s="24" t="n"/>
    </row>
    <row r="84">
      <c r="A84" s="25" t="n">
        <v>81</v>
      </c>
      <c r="B84" s="24" t="inlineStr">
        <is>
          <t>Trees: traversals, height, diameter</t>
        </is>
      </c>
      <c r="C84" s="24" t="n"/>
      <c r="D84" s="24" t="n"/>
      <c r="E84" s="25" t="n"/>
      <c r="F84" s="25" t="inlineStr">
        <is>
          <t>Not started</t>
        </is>
      </c>
      <c r="G84" s="25" t="n"/>
      <c r="H84" s="69" t="n"/>
      <c r="I84" s="69" t="n"/>
      <c r="J84" s="24" t="n"/>
    </row>
    <row r="85">
      <c r="A85" s="25" t="n">
        <v>82</v>
      </c>
      <c r="B85" s="24" t="inlineStr">
        <is>
          <t>BST basics</t>
        </is>
      </c>
      <c r="C85" s="24" t="n"/>
      <c r="D85" s="24" t="n"/>
      <c r="E85" s="25" t="n"/>
      <c r="F85" s="25" t="inlineStr">
        <is>
          <t>Not started</t>
        </is>
      </c>
      <c r="G85" s="25" t="n"/>
      <c r="H85" s="69" t="n"/>
      <c r="I85" s="69" t="n"/>
      <c r="J85" s="24" t="n"/>
    </row>
    <row r="86">
      <c r="A86" s="25" t="n">
        <v>83</v>
      </c>
      <c r="B86" s="24" t="inlineStr">
        <is>
          <t>Heaps / priority queue basics</t>
        </is>
      </c>
      <c r="C86" s="24" t="n"/>
      <c r="D86" s="24" t="n"/>
      <c r="E86" s="25" t="n"/>
      <c r="F86" s="25" t="inlineStr">
        <is>
          <t>Not started</t>
        </is>
      </c>
      <c r="G86" s="25" t="n"/>
      <c r="H86" s="69" t="n"/>
      <c r="I86" s="69" t="n"/>
      <c r="J86" s="24" t="n"/>
    </row>
    <row r="87">
      <c r="A87" s="25" t="n">
        <v>84</v>
      </c>
      <c r="B87" s="24" t="inlineStr">
        <is>
          <t>Graphs: BFS, DFS, connected components</t>
        </is>
      </c>
      <c r="C87" s="24" t="n"/>
      <c r="D87" s="24" t="n"/>
      <c r="E87" s="25" t="n"/>
      <c r="F87" s="25" t="inlineStr">
        <is>
          <t>Not started</t>
        </is>
      </c>
      <c r="G87" s="25" t="n"/>
      <c r="H87" s="69" t="n"/>
      <c r="I87" s="69" t="n"/>
      <c r="J87" s="24" t="n"/>
    </row>
    <row r="88">
      <c r="A88" s="25" t="n">
        <v>85</v>
      </c>
      <c r="B88" s="24" t="inlineStr">
        <is>
          <t>Greedy basics</t>
        </is>
      </c>
      <c r="C88" s="24" t="n"/>
      <c r="D88" s="24" t="n"/>
      <c r="E88" s="25" t="n"/>
      <c r="F88" s="25" t="inlineStr">
        <is>
          <t>Not started</t>
        </is>
      </c>
      <c r="G88" s="25" t="n"/>
      <c r="H88" s="69" t="n"/>
      <c r="I88" s="69" t="n"/>
      <c r="J88" s="24" t="n"/>
    </row>
    <row r="89">
      <c r="A89" s="25" t="n">
        <v>86</v>
      </c>
      <c r="B89" s="24" t="inlineStr">
        <is>
          <t>Dynamic programming intro (climbing stairs, knapsack)</t>
        </is>
      </c>
      <c r="C89" s="24" t="n"/>
      <c r="D89" s="24" t="n"/>
      <c r="E89" s="25" t="n"/>
      <c r="F89" s="25" t="inlineStr">
        <is>
          <t>Not started</t>
        </is>
      </c>
      <c r="G89" s="25" t="n"/>
      <c r="H89" s="69" t="n"/>
      <c r="I89" s="69" t="n"/>
      <c r="J89" s="24" t="n"/>
    </row>
    <row r="90">
      <c r="A90" s="25" t="n">
        <v>87</v>
      </c>
      <c r="B90" s="24" t="inlineStr">
        <is>
          <t>Bit manipulation basics</t>
        </is>
      </c>
      <c r="C90" s="24" t="n"/>
      <c r="D90" s="24" t="n"/>
      <c r="E90" s="25" t="n"/>
      <c r="F90" s="25" t="inlineStr">
        <is>
          <t>Not started</t>
        </is>
      </c>
      <c r="G90" s="25" t="n"/>
      <c r="H90" s="69" t="n"/>
      <c r="I90" s="69" t="n"/>
      <c r="J90" s="24" t="n"/>
    </row>
    <row r="91">
      <c r="A91" s="25" t="n">
        <v>88</v>
      </c>
      <c r="B91" s="24" t="inlineStr">
        <is>
          <t>Arrays &amp; running sum</t>
        </is>
      </c>
      <c r="C91" s="24" t="n"/>
      <c r="D91" s="24" t="n"/>
      <c r="E91" s="25" t="n"/>
      <c r="F91" s="25" t="inlineStr">
        <is>
          <t>Not started</t>
        </is>
      </c>
      <c r="G91" s="25" t="n"/>
      <c r="H91" s="69" t="n"/>
      <c r="I91" s="69" t="n"/>
      <c r="J91" s="24" t="n"/>
    </row>
    <row r="92">
      <c r="A92" s="25" t="n">
        <v>89</v>
      </c>
      <c r="B92" s="24" t="inlineStr">
        <is>
          <t>Strings &amp; frequency counting</t>
        </is>
      </c>
      <c r="C92" s="24" t="n"/>
      <c r="D92" s="24" t="n"/>
      <c r="E92" s="25" t="n"/>
      <c r="F92" s="25" t="inlineStr">
        <is>
          <t>Not started</t>
        </is>
      </c>
      <c r="G92" s="25" t="n"/>
      <c r="H92" s="69" t="n"/>
      <c r="I92" s="69" t="n"/>
      <c r="J92" s="24" t="n"/>
    </row>
    <row r="93">
      <c r="A93" s="25" t="n">
        <v>90</v>
      </c>
      <c r="B93" s="24" t="inlineStr">
        <is>
          <t>Hashing (maps/sets) patterns</t>
        </is>
      </c>
      <c r="C93" s="24" t="n"/>
      <c r="D93" s="24" t="n"/>
      <c r="E93" s="25" t="n"/>
      <c r="F93" s="25" t="inlineStr">
        <is>
          <t>Not started</t>
        </is>
      </c>
      <c r="G93" s="25" t="n"/>
      <c r="H93" s="69" t="n"/>
      <c r="I93" s="69" t="n"/>
      <c r="J93" s="24" t="n"/>
    </row>
    <row r="94">
      <c r="A94" s="25" t="n">
        <v>91</v>
      </c>
      <c r="B94" s="24" t="inlineStr">
        <is>
          <t>Two pointers</t>
        </is>
      </c>
      <c r="C94" s="24" t="n"/>
      <c r="D94" s="24" t="n"/>
      <c r="E94" s="25" t="n"/>
      <c r="F94" s="25" t="inlineStr">
        <is>
          <t>Not started</t>
        </is>
      </c>
      <c r="G94" s="25" t="n"/>
      <c r="H94" s="69" t="n"/>
      <c r="I94" s="69" t="n"/>
      <c r="J94" s="24" t="n"/>
    </row>
    <row r="95">
      <c r="A95" s="25" t="n">
        <v>92</v>
      </c>
      <c r="B95" s="24" t="inlineStr">
        <is>
          <t>Sliding window</t>
        </is>
      </c>
      <c r="C95" s="24" t="n"/>
      <c r="D95" s="24" t="n"/>
      <c r="E95" s="25" t="n"/>
      <c r="F95" s="25" t="inlineStr">
        <is>
          <t>Not started</t>
        </is>
      </c>
      <c r="G95" s="25" t="n"/>
      <c r="H95" s="69" t="n"/>
      <c r="I95" s="69" t="n"/>
      <c r="J95" s="24" t="n"/>
    </row>
    <row r="96">
      <c r="A96" s="25" t="n">
        <v>93</v>
      </c>
      <c r="B96" s="24" t="inlineStr">
        <is>
          <t>Prefix sum</t>
        </is>
      </c>
      <c r="C96" s="24" t="n"/>
      <c r="D96" s="24" t="n"/>
      <c r="E96" s="25" t="n"/>
      <c r="F96" s="25" t="inlineStr">
        <is>
          <t>Not started</t>
        </is>
      </c>
      <c r="G96" s="25" t="n"/>
      <c r="H96" s="69" t="n"/>
      <c r="I96" s="69" t="n"/>
      <c r="J96" s="24" t="n"/>
    </row>
    <row r="97">
      <c r="A97" s="25" t="n">
        <v>94</v>
      </c>
      <c r="B97" s="24" t="inlineStr">
        <is>
          <t>Stack (valid parentheses, next greater element)</t>
        </is>
      </c>
      <c r="C97" s="24" t="n"/>
      <c r="D97" s="24" t="n"/>
      <c r="E97" s="25" t="n"/>
      <c r="F97" s="25" t="inlineStr">
        <is>
          <t>Not started</t>
        </is>
      </c>
      <c r="G97" s="25" t="n"/>
      <c r="H97" s="69" t="n"/>
      <c r="I97" s="69" t="n"/>
      <c r="J97" s="24" t="n"/>
    </row>
    <row r="98">
      <c r="A98" s="25" t="n">
        <v>95</v>
      </c>
      <c r="B98" s="24" t="inlineStr">
        <is>
          <t>Queue &amp; deque basics</t>
        </is>
      </c>
      <c r="C98" s="24" t="n"/>
      <c r="D98" s="24" t="n"/>
      <c r="E98" s="25" t="n"/>
      <c r="F98" s="25" t="inlineStr">
        <is>
          <t>Not started</t>
        </is>
      </c>
      <c r="G98" s="25" t="n"/>
      <c r="H98" s="69" t="n"/>
      <c r="I98" s="69" t="n"/>
      <c r="J98" s="24" t="n"/>
    </row>
    <row r="99">
      <c r="A99" s="25" t="n">
        <v>96</v>
      </c>
      <c r="B99" s="24" t="inlineStr">
        <is>
          <t>Linked list (reverse, middle, cycle)</t>
        </is>
      </c>
      <c r="C99" s="24" t="n"/>
      <c r="D99" s="24" t="n"/>
      <c r="E99" s="25" t="n"/>
      <c r="F99" s="25" t="inlineStr">
        <is>
          <t>Not started</t>
        </is>
      </c>
      <c r="G99" s="25" t="n"/>
      <c r="H99" s="69" t="n"/>
      <c r="I99" s="69" t="n"/>
      <c r="J99" s="24" t="n"/>
    </row>
    <row r="100">
      <c r="A100" s="25" t="n">
        <v>97</v>
      </c>
      <c r="B100" s="24" t="inlineStr">
        <is>
          <t>Binary search (and binary search on answer)</t>
        </is>
      </c>
      <c r="C100" s="24" t="n"/>
      <c r="D100" s="24" t="n"/>
      <c r="E100" s="25" t="n"/>
      <c r="F100" s="25" t="inlineStr">
        <is>
          <t>Not started</t>
        </is>
      </c>
      <c r="G100" s="25" t="n"/>
      <c r="H100" s="69" t="n"/>
      <c r="I100" s="69" t="n"/>
      <c r="J100" s="24" t="n"/>
    </row>
    <row r="101">
      <c r="A101" s="25" t="n">
        <v>98</v>
      </c>
      <c r="B101" s="24" t="inlineStr">
        <is>
          <t>Sorting: bubble/selection/insertion + merge/quick idea</t>
        </is>
      </c>
      <c r="C101" s="24" t="n"/>
      <c r="D101" s="24" t="n"/>
      <c r="E101" s="25" t="n"/>
      <c r="F101" s="25" t="inlineStr">
        <is>
          <t>Not started</t>
        </is>
      </c>
      <c r="G101" s="25" t="n"/>
      <c r="H101" s="69" t="n"/>
      <c r="I101" s="69" t="n"/>
      <c r="J101" s="24" t="n"/>
    </row>
    <row r="102">
      <c r="A102" s="25" t="n">
        <v>99</v>
      </c>
      <c r="B102" s="24" t="inlineStr">
        <is>
          <t>Recursion &amp; backtracking basics</t>
        </is>
      </c>
      <c r="C102" s="24" t="n"/>
      <c r="D102" s="24" t="n"/>
      <c r="E102" s="25" t="n"/>
      <c r="F102" s="25" t="inlineStr">
        <is>
          <t>Not started</t>
        </is>
      </c>
      <c r="G102" s="25" t="n"/>
      <c r="H102" s="69" t="n"/>
      <c r="I102" s="69" t="n"/>
      <c r="J102" s="24" t="n"/>
    </row>
    <row r="103">
      <c r="A103" s="25" t="n">
        <v>100</v>
      </c>
      <c r="B103" s="24" t="inlineStr">
        <is>
          <t>Trees: traversals, height, diameter</t>
        </is>
      </c>
      <c r="C103" s="24" t="n"/>
      <c r="D103" s="24" t="n"/>
      <c r="E103" s="25" t="n"/>
      <c r="F103" s="25" t="inlineStr">
        <is>
          <t>Not started</t>
        </is>
      </c>
      <c r="G103" s="25" t="n"/>
      <c r="H103" s="69" t="n"/>
      <c r="I103" s="69" t="n"/>
      <c r="J103" s="24" t="n"/>
    </row>
    <row r="104">
      <c r="A104" s="25" t="n">
        <v>101</v>
      </c>
      <c r="B104" s="24" t="inlineStr">
        <is>
          <t>BST basics</t>
        </is>
      </c>
      <c r="C104" s="24" t="n"/>
      <c r="D104" s="24" t="n"/>
      <c r="E104" s="25" t="n"/>
      <c r="F104" s="25" t="inlineStr">
        <is>
          <t>Not started</t>
        </is>
      </c>
      <c r="G104" s="25" t="n"/>
      <c r="H104" s="69" t="n"/>
      <c r="I104" s="69" t="n"/>
      <c r="J104" s="24" t="n"/>
    </row>
    <row r="105">
      <c r="A105" s="25" t="n">
        <v>102</v>
      </c>
      <c r="B105" s="24" t="inlineStr">
        <is>
          <t>Heaps / priority queue basics</t>
        </is>
      </c>
      <c r="C105" s="24" t="n"/>
      <c r="D105" s="24" t="n"/>
      <c r="E105" s="25" t="n"/>
      <c r="F105" s="25" t="inlineStr">
        <is>
          <t>Not started</t>
        </is>
      </c>
      <c r="G105" s="25" t="n"/>
      <c r="H105" s="69" t="n"/>
      <c r="I105" s="69" t="n"/>
      <c r="J105" s="24" t="n"/>
    </row>
    <row r="106">
      <c r="A106" s="25" t="n">
        <v>103</v>
      </c>
      <c r="B106" s="24" t="inlineStr">
        <is>
          <t>Graphs: BFS, DFS, connected components</t>
        </is>
      </c>
      <c r="C106" s="24" t="n"/>
      <c r="D106" s="24" t="n"/>
      <c r="E106" s="25" t="n"/>
      <c r="F106" s="25" t="inlineStr">
        <is>
          <t>Not started</t>
        </is>
      </c>
      <c r="G106" s="25" t="n"/>
      <c r="H106" s="69" t="n"/>
      <c r="I106" s="69" t="n"/>
      <c r="J106" s="24" t="n"/>
    </row>
    <row r="107">
      <c r="A107" s="25" t="n">
        <v>104</v>
      </c>
      <c r="B107" s="24" t="inlineStr">
        <is>
          <t>Greedy basics</t>
        </is>
      </c>
      <c r="C107" s="24" t="n"/>
      <c r="D107" s="24" t="n"/>
      <c r="E107" s="25" t="n"/>
      <c r="F107" s="25" t="inlineStr">
        <is>
          <t>Not started</t>
        </is>
      </c>
      <c r="G107" s="25" t="n"/>
      <c r="H107" s="69" t="n"/>
      <c r="I107" s="69" t="n"/>
      <c r="J107" s="24" t="n"/>
    </row>
    <row r="108">
      <c r="A108" s="25" t="n">
        <v>105</v>
      </c>
      <c r="B108" s="24" t="inlineStr">
        <is>
          <t>Dynamic programming intro (climbing stairs, knapsack)</t>
        </is>
      </c>
      <c r="C108" s="24" t="n"/>
      <c r="D108" s="24" t="n"/>
      <c r="E108" s="25" t="n"/>
      <c r="F108" s="25" t="inlineStr">
        <is>
          <t>Not started</t>
        </is>
      </c>
      <c r="G108" s="25" t="n"/>
      <c r="H108" s="69" t="n"/>
      <c r="I108" s="69" t="n"/>
      <c r="J108" s="24" t="n"/>
    </row>
    <row r="109">
      <c r="A109" s="25" t="n">
        <v>106</v>
      </c>
      <c r="B109" s="24" t="inlineStr">
        <is>
          <t>Bit manipulation basics</t>
        </is>
      </c>
      <c r="C109" s="24" t="n"/>
      <c r="D109" s="24" t="n"/>
      <c r="E109" s="25" t="n"/>
      <c r="F109" s="25" t="inlineStr">
        <is>
          <t>Not started</t>
        </is>
      </c>
      <c r="G109" s="25" t="n"/>
      <c r="H109" s="69" t="n"/>
      <c r="I109" s="69" t="n"/>
      <c r="J109" s="24" t="n"/>
    </row>
    <row r="110">
      <c r="A110" s="25" t="n">
        <v>107</v>
      </c>
      <c r="B110" s="24" t="inlineStr">
        <is>
          <t>Arrays &amp; running sum</t>
        </is>
      </c>
      <c r="C110" s="24" t="n"/>
      <c r="D110" s="24" t="n"/>
      <c r="E110" s="25" t="n"/>
      <c r="F110" s="25" t="inlineStr">
        <is>
          <t>Not started</t>
        </is>
      </c>
      <c r="G110" s="25" t="n"/>
      <c r="H110" s="69" t="n"/>
      <c r="I110" s="69" t="n"/>
      <c r="J110" s="24" t="n"/>
    </row>
    <row r="111">
      <c r="A111" s="25" t="n">
        <v>108</v>
      </c>
      <c r="B111" s="24" t="inlineStr">
        <is>
          <t>Strings &amp; frequency counting</t>
        </is>
      </c>
      <c r="C111" s="24" t="n"/>
      <c r="D111" s="24" t="n"/>
      <c r="E111" s="25" t="n"/>
      <c r="F111" s="25" t="inlineStr">
        <is>
          <t>Not started</t>
        </is>
      </c>
      <c r="G111" s="25" t="n"/>
      <c r="H111" s="69" t="n"/>
      <c r="I111" s="69" t="n"/>
      <c r="J111" s="24" t="n"/>
    </row>
    <row r="112">
      <c r="A112" s="25" t="n">
        <v>109</v>
      </c>
      <c r="B112" s="24" t="inlineStr">
        <is>
          <t>Hashing (maps/sets) patterns</t>
        </is>
      </c>
      <c r="C112" s="24" t="n"/>
      <c r="D112" s="24" t="n"/>
      <c r="E112" s="25" t="n"/>
      <c r="F112" s="25" t="inlineStr">
        <is>
          <t>Not started</t>
        </is>
      </c>
      <c r="G112" s="25" t="n"/>
      <c r="H112" s="69" t="n"/>
      <c r="I112" s="69" t="n"/>
      <c r="J112" s="24" t="n"/>
    </row>
    <row r="113">
      <c r="A113" s="25" t="n">
        <v>110</v>
      </c>
      <c r="B113" s="24" t="inlineStr">
        <is>
          <t>Two pointers</t>
        </is>
      </c>
      <c r="C113" s="24" t="n"/>
      <c r="D113" s="24" t="n"/>
      <c r="E113" s="25" t="n"/>
      <c r="F113" s="25" t="inlineStr">
        <is>
          <t>Not started</t>
        </is>
      </c>
      <c r="G113" s="25" t="n"/>
      <c r="H113" s="69" t="n"/>
      <c r="I113" s="69" t="n"/>
      <c r="J113" s="24" t="n"/>
    </row>
    <row r="114">
      <c r="A114" s="25" t="n">
        <v>111</v>
      </c>
      <c r="B114" s="24" t="inlineStr">
        <is>
          <t>Sliding window</t>
        </is>
      </c>
      <c r="C114" s="24" t="n"/>
      <c r="D114" s="24" t="n"/>
      <c r="E114" s="25" t="n"/>
      <c r="F114" s="25" t="inlineStr">
        <is>
          <t>Not started</t>
        </is>
      </c>
      <c r="G114" s="25" t="n"/>
      <c r="H114" s="69" t="n"/>
      <c r="I114" s="69" t="n"/>
      <c r="J114" s="24" t="n"/>
    </row>
    <row r="115">
      <c r="A115" s="25" t="n">
        <v>112</v>
      </c>
      <c r="B115" s="24" t="inlineStr">
        <is>
          <t>Prefix sum</t>
        </is>
      </c>
      <c r="C115" s="24" t="n"/>
      <c r="D115" s="24" t="n"/>
      <c r="E115" s="25" t="n"/>
      <c r="F115" s="25" t="inlineStr">
        <is>
          <t>Not started</t>
        </is>
      </c>
      <c r="G115" s="25" t="n"/>
      <c r="H115" s="69" t="n"/>
      <c r="I115" s="69" t="n"/>
      <c r="J115" s="24" t="n"/>
    </row>
    <row r="116">
      <c r="A116" s="25" t="n">
        <v>113</v>
      </c>
      <c r="B116" s="24" t="inlineStr">
        <is>
          <t>Stack (valid parentheses, next greater element)</t>
        </is>
      </c>
      <c r="C116" s="24" t="n"/>
      <c r="D116" s="24" t="n"/>
      <c r="E116" s="25" t="n"/>
      <c r="F116" s="25" t="inlineStr">
        <is>
          <t>Not started</t>
        </is>
      </c>
      <c r="G116" s="25" t="n"/>
      <c r="H116" s="69" t="n"/>
      <c r="I116" s="69" t="n"/>
      <c r="J116" s="24" t="n"/>
    </row>
    <row r="117">
      <c r="A117" s="25" t="n">
        <v>114</v>
      </c>
      <c r="B117" s="24" t="inlineStr">
        <is>
          <t>Queue &amp; deque basics</t>
        </is>
      </c>
      <c r="C117" s="24" t="n"/>
      <c r="D117" s="24" t="n"/>
      <c r="E117" s="25" t="n"/>
      <c r="F117" s="25" t="inlineStr">
        <is>
          <t>Not started</t>
        </is>
      </c>
      <c r="G117" s="25" t="n"/>
      <c r="H117" s="69" t="n"/>
      <c r="I117" s="69" t="n"/>
      <c r="J117" s="24" t="n"/>
    </row>
    <row r="118">
      <c r="A118" s="25" t="n">
        <v>115</v>
      </c>
      <c r="B118" s="24" t="inlineStr">
        <is>
          <t>Linked list (reverse, middle, cycle)</t>
        </is>
      </c>
      <c r="C118" s="24" t="n"/>
      <c r="D118" s="24" t="n"/>
      <c r="E118" s="25" t="n"/>
      <c r="F118" s="25" t="inlineStr">
        <is>
          <t>Not started</t>
        </is>
      </c>
      <c r="G118" s="25" t="n"/>
      <c r="H118" s="69" t="n"/>
      <c r="I118" s="69" t="n"/>
      <c r="J118" s="24" t="n"/>
    </row>
    <row r="119">
      <c r="A119" s="25" t="n">
        <v>116</v>
      </c>
      <c r="B119" s="24" t="inlineStr">
        <is>
          <t>Binary search (and binary search on answer)</t>
        </is>
      </c>
      <c r="C119" s="24" t="n"/>
      <c r="D119" s="24" t="n"/>
      <c r="E119" s="25" t="n"/>
      <c r="F119" s="25" t="inlineStr">
        <is>
          <t>Not started</t>
        </is>
      </c>
      <c r="G119" s="25" t="n"/>
      <c r="H119" s="69" t="n"/>
      <c r="I119" s="69" t="n"/>
      <c r="J119" s="24" t="n"/>
    </row>
    <row r="120">
      <c r="A120" s="25" t="n">
        <v>117</v>
      </c>
      <c r="B120" s="24" t="inlineStr">
        <is>
          <t>Sorting: bubble/selection/insertion + merge/quick idea</t>
        </is>
      </c>
      <c r="C120" s="24" t="n"/>
      <c r="D120" s="24" t="n"/>
      <c r="E120" s="25" t="n"/>
      <c r="F120" s="25" t="inlineStr">
        <is>
          <t>Not started</t>
        </is>
      </c>
      <c r="G120" s="25" t="n"/>
      <c r="H120" s="69" t="n"/>
      <c r="I120" s="69" t="n"/>
      <c r="J120" s="24" t="n"/>
    </row>
    <row r="121">
      <c r="A121" s="25" t="n">
        <v>118</v>
      </c>
      <c r="B121" s="24" t="inlineStr">
        <is>
          <t>Recursion &amp; backtracking basics</t>
        </is>
      </c>
      <c r="C121" s="24" t="n"/>
      <c r="D121" s="24" t="n"/>
      <c r="E121" s="25" t="n"/>
      <c r="F121" s="25" t="inlineStr">
        <is>
          <t>Not started</t>
        </is>
      </c>
      <c r="G121" s="25" t="n"/>
      <c r="H121" s="69" t="n"/>
      <c r="I121" s="69" t="n"/>
      <c r="J121" s="24" t="n"/>
    </row>
    <row r="122">
      <c r="A122" s="25" t="n">
        <v>119</v>
      </c>
      <c r="B122" s="24" t="inlineStr">
        <is>
          <t>Trees: traversals, height, diameter</t>
        </is>
      </c>
      <c r="C122" s="24" t="n"/>
      <c r="D122" s="24" t="n"/>
      <c r="E122" s="25" t="n"/>
      <c r="F122" s="25" t="inlineStr">
        <is>
          <t>Not started</t>
        </is>
      </c>
      <c r="G122" s="25" t="n"/>
      <c r="H122" s="69" t="n"/>
      <c r="I122" s="69" t="n"/>
      <c r="J122" s="24" t="n"/>
    </row>
    <row r="123">
      <c r="A123" s="25" t="n">
        <v>120</v>
      </c>
      <c r="B123" s="24" t="inlineStr">
        <is>
          <t>BST basics</t>
        </is>
      </c>
      <c r="C123" s="24" t="n"/>
      <c r="D123" s="24" t="n"/>
      <c r="E123" s="25" t="n"/>
      <c r="F123" s="25" t="inlineStr">
        <is>
          <t>Not started</t>
        </is>
      </c>
      <c r="G123" s="25" t="n"/>
      <c r="H123" s="69" t="n"/>
      <c r="I123" s="69" t="n"/>
      <c r="J123" s="24" t="n"/>
    </row>
    <row r="124">
      <c r="A124" s="25" t="n">
        <v>121</v>
      </c>
      <c r="B124" s="24" t="inlineStr">
        <is>
          <t>Heaps / priority queue basics</t>
        </is>
      </c>
      <c r="C124" s="24" t="n"/>
      <c r="D124" s="24" t="n"/>
      <c r="E124" s="25" t="n"/>
      <c r="F124" s="25" t="inlineStr">
        <is>
          <t>Not started</t>
        </is>
      </c>
      <c r="G124" s="25" t="n"/>
      <c r="H124" s="69" t="n"/>
      <c r="I124" s="69" t="n"/>
      <c r="J124" s="24" t="n"/>
    </row>
    <row r="125">
      <c r="A125" s="25" t="n">
        <v>122</v>
      </c>
      <c r="B125" s="24" t="inlineStr">
        <is>
          <t>Graphs: BFS, DFS, connected components</t>
        </is>
      </c>
      <c r="C125" s="24" t="n"/>
      <c r="D125" s="24" t="n"/>
      <c r="E125" s="25" t="n"/>
      <c r="F125" s="25" t="inlineStr">
        <is>
          <t>Not started</t>
        </is>
      </c>
      <c r="G125" s="25" t="n"/>
      <c r="H125" s="69" t="n"/>
      <c r="I125" s="69" t="n"/>
      <c r="J125" s="24" t="n"/>
    </row>
    <row r="126">
      <c r="A126" s="25" t="n">
        <v>123</v>
      </c>
      <c r="B126" s="24" t="inlineStr">
        <is>
          <t>Greedy basics</t>
        </is>
      </c>
      <c r="C126" s="24" t="n"/>
      <c r="D126" s="24" t="n"/>
      <c r="E126" s="25" t="n"/>
      <c r="F126" s="25" t="inlineStr">
        <is>
          <t>Not started</t>
        </is>
      </c>
      <c r="G126" s="25" t="n"/>
      <c r="H126" s="69" t="n"/>
      <c r="I126" s="69" t="n"/>
      <c r="J126" s="24" t="n"/>
    </row>
    <row r="127">
      <c r="A127" s="25" t="n">
        <v>124</v>
      </c>
      <c r="B127" s="24" t="inlineStr">
        <is>
          <t>Dynamic programming intro (climbing stairs, knapsack)</t>
        </is>
      </c>
      <c r="C127" s="24" t="n"/>
      <c r="D127" s="24" t="n"/>
      <c r="E127" s="25" t="n"/>
      <c r="F127" s="25" t="inlineStr">
        <is>
          <t>Not started</t>
        </is>
      </c>
      <c r="G127" s="25" t="n"/>
      <c r="H127" s="69" t="n"/>
      <c r="I127" s="69" t="n"/>
      <c r="J127" s="24" t="n"/>
    </row>
    <row r="128">
      <c r="A128" s="25" t="n">
        <v>125</v>
      </c>
      <c r="B128" s="24" t="inlineStr">
        <is>
          <t>Bit manipulation basics</t>
        </is>
      </c>
      <c r="C128" s="24" t="n"/>
      <c r="D128" s="24" t="n"/>
      <c r="E128" s="25" t="n"/>
      <c r="F128" s="25" t="inlineStr">
        <is>
          <t>Not started</t>
        </is>
      </c>
      <c r="G128" s="25" t="n"/>
      <c r="H128" s="69" t="n"/>
      <c r="I128" s="69" t="n"/>
      <c r="J128" s="24" t="n"/>
    </row>
    <row r="129">
      <c r="A129" s="25" t="n">
        <v>126</v>
      </c>
      <c r="B129" s="24" t="inlineStr">
        <is>
          <t>Arrays &amp; running sum</t>
        </is>
      </c>
      <c r="C129" s="24" t="n"/>
      <c r="D129" s="24" t="n"/>
      <c r="E129" s="25" t="n"/>
      <c r="F129" s="25" t="inlineStr">
        <is>
          <t>Not started</t>
        </is>
      </c>
      <c r="G129" s="25" t="n"/>
      <c r="H129" s="69" t="n"/>
      <c r="I129" s="69" t="n"/>
      <c r="J129" s="24" t="n"/>
    </row>
    <row r="130">
      <c r="A130" s="25" t="n">
        <v>127</v>
      </c>
      <c r="B130" s="24" t="inlineStr">
        <is>
          <t>Strings &amp; frequency counting</t>
        </is>
      </c>
      <c r="C130" s="24" t="n"/>
      <c r="D130" s="24" t="n"/>
      <c r="E130" s="25" t="n"/>
      <c r="F130" s="25" t="inlineStr">
        <is>
          <t>Not started</t>
        </is>
      </c>
      <c r="G130" s="25" t="n"/>
      <c r="H130" s="69" t="n"/>
      <c r="I130" s="69" t="n"/>
      <c r="J130" s="24" t="n"/>
    </row>
    <row r="131">
      <c r="A131" s="25" t="n">
        <v>128</v>
      </c>
      <c r="B131" s="24" t="inlineStr">
        <is>
          <t>Hashing (maps/sets) patterns</t>
        </is>
      </c>
      <c r="C131" s="24" t="n"/>
      <c r="D131" s="24" t="n"/>
      <c r="E131" s="25" t="n"/>
      <c r="F131" s="25" t="inlineStr">
        <is>
          <t>Not started</t>
        </is>
      </c>
      <c r="G131" s="25" t="n"/>
      <c r="H131" s="69" t="n"/>
      <c r="I131" s="69" t="n"/>
      <c r="J131" s="24" t="n"/>
    </row>
    <row r="132">
      <c r="A132" s="25" t="n">
        <v>129</v>
      </c>
      <c r="B132" s="24" t="inlineStr">
        <is>
          <t>Two pointers</t>
        </is>
      </c>
      <c r="C132" s="24" t="n"/>
      <c r="D132" s="24" t="n"/>
      <c r="E132" s="25" t="n"/>
      <c r="F132" s="25" t="inlineStr">
        <is>
          <t>Not started</t>
        </is>
      </c>
      <c r="G132" s="25" t="n"/>
      <c r="H132" s="69" t="n"/>
      <c r="I132" s="69" t="n"/>
      <c r="J132" s="24" t="n"/>
    </row>
    <row r="133">
      <c r="A133" s="25" t="n">
        <v>130</v>
      </c>
      <c r="B133" s="24" t="inlineStr">
        <is>
          <t>Sliding window</t>
        </is>
      </c>
      <c r="C133" s="24" t="n"/>
      <c r="D133" s="24" t="n"/>
      <c r="E133" s="25" t="n"/>
      <c r="F133" s="25" t="inlineStr">
        <is>
          <t>Not started</t>
        </is>
      </c>
      <c r="G133" s="25" t="n"/>
      <c r="H133" s="69" t="n"/>
      <c r="I133" s="69" t="n"/>
      <c r="J133" s="24" t="n"/>
    </row>
    <row r="134">
      <c r="A134" s="25" t="n">
        <v>131</v>
      </c>
      <c r="B134" s="24" t="inlineStr">
        <is>
          <t>Prefix sum</t>
        </is>
      </c>
      <c r="C134" s="24" t="n"/>
      <c r="D134" s="24" t="n"/>
      <c r="E134" s="25" t="n"/>
      <c r="F134" s="25" t="inlineStr">
        <is>
          <t>Not started</t>
        </is>
      </c>
      <c r="G134" s="25" t="n"/>
      <c r="H134" s="69" t="n"/>
      <c r="I134" s="69" t="n"/>
      <c r="J134" s="24" t="n"/>
    </row>
    <row r="135">
      <c r="A135" s="25" t="n">
        <v>132</v>
      </c>
      <c r="B135" s="24" t="inlineStr">
        <is>
          <t>Stack (valid parentheses, next greater element)</t>
        </is>
      </c>
      <c r="C135" s="24" t="n"/>
      <c r="D135" s="24" t="n"/>
      <c r="E135" s="25" t="n"/>
      <c r="F135" s="25" t="inlineStr">
        <is>
          <t>Not started</t>
        </is>
      </c>
      <c r="G135" s="25" t="n"/>
      <c r="H135" s="69" t="n"/>
      <c r="I135" s="69" t="n"/>
      <c r="J135" s="24" t="n"/>
    </row>
    <row r="136">
      <c r="A136" s="25" t="n">
        <v>133</v>
      </c>
      <c r="B136" s="24" t="inlineStr">
        <is>
          <t>Queue &amp; deque basics</t>
        </is>
      </c>
      <c r="C136" s="24" t="n"/>
      <c r="D136" s="24" t="n"/>
      <c r="E136" s="25" t="n"/>
      <c r="F136" s="25" t="inlineStr">
        <is>
          <t>Not started</t>
        </is>
      </c>
      <c r="G136" s="25" t="n"/>
      <c r="H136" s="69" t="n"/>
      <c r="I136" s="69" t="n"/>
      <c r="J136" s="24" t="n"/>
    </row>
    <row r="137">
      <c r="A137" s="25" t="n">
        <v>134</v>
      </c>
      <c r="B137" s="24" t="inlineStr">
        <is>
          <t>Linked list (reverse, middle, cycle)</t>
        </is>
      </c>
      <c r="C137" s="24" t="n"/>
      <c r="D137" s="24" t="n"/>
      <c r="E137" s="25" t="n"/>
      <c r="F137" s="25" t="inlineStr">
        <is>
          <t>Not started</t>
        </is>
      </c>
      <c r="G137" s="25" t="n"/>
      <c r="H137" s="69" t="n"/>
      <c r="I137" s="69" t="n"/>
      <c r="J137" s="24" t="n"/>
    </row>
    <row r="138">
      <c r="A138" s="25" t="n">
        <v>135</v>
      </c>
      <c r="B138" s="24" t="inlineStr">
        <is>
          <t>Binary search (and binary search on answer)</t>
        </is>
      </c>
      <c r="C138" s="24" t="n"/>
      <c r="D138" s="24" t="n"/>
      <c r="E138" s="25" t="n"/>
      <c r="F138" s="25" t="inlineStr">
        <is>
          <t>Not started</t>
        </is>
      </c>
      <c r="G138" s="25" t="n"/>
      <c r="H138" s="69" t="n"/>
      <c r="I138" s="69" t="n"/>
      <c r="J138" s="24" t="n"/>
    </row>
    <row r="139">
      <c r="A139" s="25" t="n">
        <v>136</v>
      </c>
      <c r="B139" s="24" t="inlineStr">
        <is>
          <t>Sorting: bubble/selection/insertion + merge/quick idea</t>
        </is>
      </c>
      <c r="C139" s="24" t="n"/>
      <c r="D139" s="24" t="n"/>
      <c r="E139" s="25" t="n"/>
      <c r="F139" s="25" t="inlineStr">
        <is>
          <t>Not started</t>
        </is>
      </c>
      <c r="G139" s="25" t="n"/>
      <c r="H139" s="69" t="n"/>
      <c r="I139" s="69" t="n"/>
      <c r="J139" s="24" t="n"/>
    </row>
    <row r="140">
      <c r="A140" s="25" t="n">
        <v>137</v>
      </c>
      <c r="B140" s="24" t="inlineStr">
        <is>
          <t>Recursion &amp; backtracking basics</t>
        </is>
      </c>
      <c r="C140" s="24" t="n"/>
      <c r="D140" s="24" t="n"/>
      <c r="E140" s="25" t="n"/>
      <c r="F140" s="25" t="inlineStr">
        <is>
          <t>Not started</t>
        </is>
      </c>
      <c r="G140" s="25" t="n"/>
      <c r="H140" s="69" t="n"/>
      <c r="I140" s="69" t="n"/>
      <c r="J140" s="24" t="n"/>
    </row>
    <row r="141">
      <c r="A141" s="25" t="n">
        <v>138</v>
      </c>
      <c r="B141" s="24" t="inlineStr">
        <is>
          <t>Trees: traversals, height, diameter</t>
        </is>
      </c>
      <c r="C141" s="24" t="n"/>
      <c r="D141" s="24" t="n"/>
      <c r="E141" s="25" t="n"/>
      <c r="F141" s="25" t="inlineStr">
        <is>
          <t>Not started</t>
        </is>
      </c>
      <c r="G141" s="25" t="n"/>
      <c r="H141" s="69" t="n"/>
      <c r="I141" s="69" t="n"/>
      <c r="J141" s="24" t="n"/>
    </row>
    <row r="142">
      <c r="A142" s="25" t="n">
        <v>139</v>
      </c>
      <c r="B142" s="24" t="inlineStr">
        <is>
          <t>BST basics</t>
        </is>
      </c>
      <c r="C142" s="24" t="n"/>
      <c r="D142" s="24" t="n"/>
      <c r="E142" s="25" t="n"/>
      <c r="F142" s="25" t="inlineStr">
        <is>
          <t>Not started</t>
        </is>
      </c>
      <c r="G142" s="25" t="n"/>
      <c r="H142" s="69" t="n"/>
      <c r="I142" s="69" t="n"/>
      <c r="J142" s="24" t="n"/>
    </row>
    <row r="143">
      <c r="A143" s="25" t="n">
        <v>140</v>
      </c>
      <c r="B143" s="24" t="inlineStr">
        <is>
          <t>Heaps / priority queue basics</t>
        </is>
      </c>
      <c r="C143" s="24" t="n"/>
      <c r="D143" s="24" t="n"/>
      <c r="E143" s="25" t="n"/>
      <c r="F143" s="25" t="inlineStr">
        <is>
          <t>Not started</t>
        </is>
      </c>
      <c r="G143" s="25" t="n"/>
      <c r="H143" s="69" t="n"/>
      <c r="I143" s="69" t="n"/>
      <c r="J143" s="24" t="n"/>
    </row>
    <row r="144">
      <c r="A144" s="25" t="n">
        <v>141</v>
      </c>
      <c r="B144" s="24" t="inlineStr">
        <is>
          <t>Graphs: BFS, DFS, connected components</t>
        </is>
      </c>
      <c r="C144" s="24" t="n"/>
      <c r="D144" s="24" t="n"/>
      <c r="E144" s="25" t="n"/>
      <c r="F144" s="25" t="inlineStr">
        <is>
          <t>Not started</t>
        </is>
      </c>
      <c r="G144" s="25" t="n"/>
      <c r="H144" s="69" t="n"/>
      <c r="I144" s="69" t="n"/>
      <c r="J144" s="24" t="n"/>
    </row>
    <row r="145">
      <c r="A145" s="25" t="n">
        <v>142</v>
      </c>
      <c r="B145" s="24" t="inlineStr">
        <is>
          <t>Greedy basics</t>
        </is>
      </c>
      <c r="C145" s="24" t="n"/>
      <c r="D145" s="24" t="n"/>
      <c r="E145" s="25" t="n"/>
      <c r="F145" s="25" t="inlineStr">
        <is>
          <t>Not started</t>
        </is>
      </c>
      <c r="G145" s="25" t="n"/>
      <c r="H145" s="69" t="n"/>
      <c r="I145" s="69" t="n"/>
      <c r="J145" s="24" t="n"/>
    </row>
    <row r="146">
      <c r="A146" s="25" t="n">
        <v>143</v>
      </c>
      <c r="B146" s="24" t="inlineStr">
        <is>
          <t>Dynamic programming intro (climbing stairs, knapsack)</t>
        </is>
      </c>
      <c r="C146" s="24" t="n"/>
      <c r="D146" s="24" t="n"/>
      <c r="E146" s="25" t="n"/>
      <c r="F146" s="25" t="inlineStr">
        <is>
          <t>Not started</t>
        </is>
      </c>
      <c r="G146" s="25" t="n"/>
      <c r="H146" s="69" t="n"/>
      <c r="I146" s="69" t="n"/>
      <c r="J146" s="24" t="n"/>
    </row>
    <row r="147">
      <c r="A147" s="25" t="n">
        <v>144</v>
      </c>
      <c r="B147" s="24" t="inlineStr">
        <is>
          <t>Bit manipulation basics</t>
        </is>
      </c>
      <c r="C147" s="24" t="n"/>
      <c r="D147" s="24" t="n"/>
      <c r="E147" s="25" t="n"/>
      <c r="F147" s="25" t="inlineStr">
        <is>
          <t>Not started</t>
        </is>
      </c>
      <c r="G147" s="25" t="n"/>
      <c r="H147" s="69" t="n"/>
      <c r="I147" s="69" t="n"/>
      <c r="J147" s="24" t="n"/>
    </row>
    <row r="148">
      <c r="A148" s="25" t="n">
        <v>145</v>
      </c>
      <c r="B148" s="24" t="inlineStr">
        <is>
          <t>Arrays &amp; running sum</t>
        </is>
      </c>
      <c r="C148" s="24" t="n"/>
      <c r="D148" s="24" t="n"/>
      <c r="E148" s="25" t="n"/>
      <c r="F148" s="25" t="inlineStr">
        <is>
          <t>Not started</t>
        </is>
      </c>
      <c r="G148" s="25" t="n"/>
      <c r="H148" s="69" t="n"/>
      <c r="I148" s="69" t="n"/>
      <c r="J148" s="24" t="n"/>
    </row>
    <row r="149">
      <c r="A149" s="25" t="n">
        <v>146</v>
      </c>
      <c r="B149" s="24" t="inlineStr">
        <is>
          <t>Strings &amp; frequency counting</t>
        </is>
      </c>
      <c r="C149" s="24" t="n"/>
      <c r="D149" s="24" t="n"/>
      <c r="E149" s="25" t="n"/>
      <c r="F149" s="25" t="inlineStr">
        <is>
          <t>Not started</t>
        </is>
      </c>
      <c r="G149" s="25" t="n"/>
      <c r="H149" s="69" t="n"/>
      <c r="I149" s="69" t="n"/>
      <c r="J149" s="24" t="n"/>
    </row>
    <row r="150">
      <c r="A150" s="25" t="n">
        <v>147</v>
      </c>
      <c r="B150" s="24" t="inlineStr">
        <is>
          <t>Hashing (maps/sets) patterns</t>
        </is>
      </c>
      <c r="C150" s="24" t="n"/>
      <c r="D150" s="24" t="n"/>
      <c r="E150" s="25" t="n"/>
      <c r="F150" s="25" t="inlineStr">
        <is>
          <t>Not started</t>
        </is>
      </c>
      <c r="G150" s="25" t="n"/>
      <c r="H150" s="69" t="n"/>
      <c r="I150" s="69" t="n"/>
      <c r="J150" s="24" t="n"/>
    </row>
    <row r="151">
      <c r="A151" s="25" t="n">
        <v>148</v>
      </c>
      <c r="B151" s="24" t="inlineStr">
        <is>
          <t>Two pointers</t>
        </is>
      </c>
      <c r="C151" s="24" t="n"/>
      <c r="D151" s="24" t="n"/>
      <c r="E151" s="25" t="n"/>
      <c r="F151" s="25" t="inlineStr">
        <is>
          <t>Not started</t>
        </is>
      </c>
      <c r="G151" s="25" t="n"/>
      <c r="H151" s="69" t="n"/>
      <c r="I151" s="69" t="n"/>
      <c r="J151" s="24" t="n"/>
    </row>
    <row r="152">
      <c r="A152" s="25" t="n">
        <v>149</v>
      </c>
      <c r="B152" s="24" t="inlineStr">
        <is>
          <t>Sliding window</t>
        </is>
      </c>
      <c r="C152" s="24" t="n"/>
      <c r="D152" s="24" t="n"/>
      <c r="E152" s="25" t="n"/>
      <c r="F152" s="25" t="inlineStr">
        <is>
          <t>Not started</t>
        </is>
      </c>
      <c r="G152" s="25" t="n"/>
      <c r="H152" s="69" t="n"/>
      <c r="I152" s="69" t="n"/>
      <c r="J152" s="24" t="n"/>
    </row>
    <row r="153">
      <c r="A153" s="25" t="n">
        <v>150</v>
      </c>
      <c r="B153" s="24" t="inlineStr">
        <is>
          <t>Prefix sum</t>
        </is>
      </c>
      <c r="C153" s="24" t="n"/>
      <c r="D153" s="24" t="n"/>
      <c r="E153" s="25" t="n"/>
      <c r="F153" s="25" t="inlineStr">
        <is>
          <t>Not started</t>
        </is>
      </c>
      <c r="G153" s="25" t="n"/>
      <c r="H153" s="69" t="n"/>
      <c r="I153" s="69" t="n"/>
      <c r="J153" s="24" t="n"/>
    </row>
  </sheetData>
  <autoFilter ref="A3:J153"/>
  <mergeCells count="2">
    <mergeCell ref="A1:J1"/>
    <mergeCell ref="A2:J2"/>
  </mergeCells>
  <conditionalFormatting sqref="F4:F153">
    <cfRule type="cellIs" priority="1" operator="equal" dxfId="4">
      <formula>"Solved"</formula>
    </cfRule>
    <cfRule type="cellIs" priority="2" operator="equal" dxfId="6">
      <formula>"Revisit"</formula>
    </cfRule>
  </conditionalFormatting>
  <dataValidations count="4">
    <dataValidation sqref="B4:B153" showDropDown="0" showInputMessage="0" showErrorMessage="0" allowBlank="1" type="list">
      <formula1>=LISTS!$A$2:$A$20</formula1>
    </dataValidation>
    <dataValidation sqref="E4:E153" showDropDown="0" showInputMessage="0" showErrorMessage="0" allowBlank="1" type="list">
      <formula1>"Easy,Medium,Hard"</formula1>
    </dataValidation>
    <dataValidation sqref="F4:F153" showDropDown="0" showInputMessage="0" showErrorMessage="0" allowBlank="1" type="list">
      <formula1>"Not started,Solved,Revisit"</formula1>
    </dataValidation>
    <dataValidation sqref="D4:D153" showDropDown="0" showInputMessage="0" showErrorMessage="0" allowBlank="1" type="list">
      <formula1>=LISTS!$B$2:$B$6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E0457B"/>
    <outlinePr summaryBelow="1" summaryRight="1"/>
    <pageSetUpPr fitToPage="1"/>
  </sheetPr>
  <dimension ref="A1:J20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6" customWidth="1" min="4" max="4"/>
    <col width="16" customWidth="1" min="5" max="5"/>
    <col width="22" customWidth="1" min="6" max="6"/>
    <col width="14" customWidth="1" min="7" max="7"/>
    <col width="30" customWidth="1" min="8" max="8"/>
    <col width="14" customWidth="1" min="9" max="9"/>
    <col width="32" customWidth="1" min="10" max="10"/>
  </cols>
  <sheetData>
    <row r="1" ht="34" customHeight="1">
      <c r="A1" s="1" t="inlineStr">
        <is>
          <t>JOB APPLICATIONS</t>
        </is>
      </c>
    </row>
    <row r="2" ht="30" customHeight="1">
      <c r="A2" s="2" t="inlineStr">
        <is>
          <t>Target: 25 per week from week 25. A follow-up after 5–7 days doubles your reply rate.</t>
        </is>
      </c>
    </row>
    <row r="3" ht="28" customHeight="1">
      <c r="A3" s="23" t="inlineStr">
        <is>
          <t>Date</t>
        </is>
      </c>
      <c r="B3" s="23" t="inlineStr">
        <is>
          <t>Company</t>
        </is>
      </c>
      <c r="C3" s="23" t="inlineStr">
        <is>
          <t>Role</t>
        </is>
      </c>
      <c r="D3" s="23" t="inlineStr">
        <is>
          <t>Location</t>
        </is>
      </c>
      <c r="E3" s="23" t="inlineStr">
        <is>
          <t>Source</t>
        </is>
      </c>
      <c r="F3" s="23" t="inlineStr">
        <is>
          <t>Referral contact</t>
        </is>
      </c>
      <c r="G3" s="23" t="inlineStr">
        <is>
          <t>Status</t>
        </is>
      </c>
      <c r="H3" s="23" t="inlineStr">
        <is>
          <t>Next action</t>
        </is>
      </c>
      <c r="I3" s="23" t="inlineStr">
        <is>
          <t>Follow-up date</t>
        </is>
      </c>
      <c r="J3" s="23" t="inlineStr">
        <is>
          <t>Notes</t>
        </is>
      </c>
    </row>
    <row r="4">
      <c r="A4" s="69" t="n">
        <v>46314</v>
      </c>
      <c r="B4" s="24" t="inlineStr">
        <is>
          <t>Example — Infopark company</t>
        </is>
      </c>
      <c r="C4" s="24" t="inlineStr">
        <is>
          <t>Full Stack Developer (Fresher)</t>
        </is>
      </c>
      <c r="D4" s="24" t="inlineStr">
        <is>
          <t>Kochi</t>
        </is>
      </c>
      <c r="E4" s="24" t="inlineStr">
        <is>
          <t>Infopark board</t>
        </is>
      </c>
      <c r="F4" s="24" t="inlineStr"/>
      <c r="G4" s="25" t="inlineStr">
        <is>
          <t>Applied</t>
        </is>
      </c>
      <c r="H4" s="24" t="inlineStr">
        <is>
          <t>Follow up in 6 days</t>
        </is>
      </c>
      <c r="I4" s="69" t="n">
        <v>46321</v>
      </c>
      <c r="J4" s="24" t="inlineStr">
        <is>
          <t>Delete these example rows before you start.</t>
        </is>
      </c>
    </row>
    <row r="5">
      <c r="A5" s="69" t="n"/>
      <c r="B5" s="24" t="n"/>
      <c r="C5" s="24" t="n"/>
      <c r="D5" s="24" t="n"/>
      <c r="E5" s="24" t="n"/>
      <c r="F5" s="24" t="n"/>
      <c r="G5" s="25" t="inlineStr">
        <is>
          <t>Not applied</t>
        </is>
      </c>
      <c r="H5" s="24" t="n"/>
      <c r="I5" s="69" t="n"/>
      <c r="J5" s="24" t="n"/>
    </row>
    <row r="6">
      <c r="A6" s="69" t="n"/>
      <c r="B6" s="24" t="n"/>
      <c r="C6" s="24" t="n"/>
      <c r="D6" s="24" t="n"/>
      <c r="E6" s="24" t="n"/>
      <c r="F6" s="24" t="n"/>
      <c r="G6" s="25" t="inlineStr">
        <is>
          <t>Not applied</t>
        </is>
      </c>
      <c r="H6" s="24" t="n"/>
      <c r="I6" s="69" t="n"/>
      <c r="J6" s="24" t="n"/>
    </row>
    <row r="7">
      <c r="A7" s="69" t="n"/>
      <c r="B7" s="24" t="n"/>
      <c r="C7" s="24" t="n"/>
      <c r="D7" s="24" t="n"/>
      <c r="E7" s="24" t="n"/>
      <c r="F7" s="24" t="n"/>
      <c r="G7" s="25" t="inlineStr">
        <is>
          <t>Not applied</t>
        </is>
      </c>
      <c r="H7" s="24" t="n"/>
      <c r="I7" s="69" t="n"/>
      <c r="J7" s="24" t="n"/>
    </row>
    <row r="8">
      <c r="A8" s="69" t="n"/>
      <c r="B8" s="24" t="n"/>
      <c r="C8" s="24" t="n"/>
      <c r="D8" s="24" t="n"/>
      <c r="E8" s="24" t="n"/>
      <c r="F8" s="24" t="n"/>
      <c r="G8" s="25" t="inlineStr">
        <is>
          <t>Not applied</t>
        </is>
      </c>
      <c r="H8" s="24" t="n"/>
      <c r="I8" s="69" t="n"/>
      <c r="J8" s="24" t="n"/>
    </row>
    <row r="9">
      <c r="A9" s="69" t="n"/>
      <c r="B9" s="24" t="n"/>
      <c r="C9" s="24" t="n"/>
      <c r="D9" s="24" t="n"/>
      <c r="E9" s="24" t="n"/>
      <c r="F9" s="24" t="n"/>
      <c r="G9" s="25" t="inlineStr">
        <is>
          <t>Not applied</t>
        </is>
      </c>
      <c r="H9" s="24" t="n"/>
      <c r="I9" s="69" t="n"/>
      <c r="J9" s="24" t="n"/>
    </row>
    <row r="10">
      <c r="A10" s="69" t="n"/>
      <c r="B10" s="24" t="n"/>
      <c r="C10" s="24" t="n"/>
      <c r="D10" s="24" t="n"/>
      <c r="E10" s="24" t="n"/>
      <c r="F10" s="24" t="n"/>
      <c r="G10" s="25" t="inlineStr">
        <is>
          <t>Not applied</t>
        </is>
      </c>
      <c r="H10" s="24" t="n"/>
      <c r="I10" s="69" t="n"/>
      <c r="J10" s="24" t="n"/>
    </row>
    <row r="11">
      <c r="A11" s="69" t="n"/>
      <c r="B11" s="24" t="n"/>
      <c r="C11" s="24" t="n"/>
      <c r="D11" s="24" t="n"/>
      <c r="E11" s="24" t="n"/>
      <c r="F11" s="24" t="n"/>
      <c r="G11" s="25" t="inlineStr">
        <is>
          <t>Not applied</t>
        </is>
      </c>
      <c r="H11" s="24" t="n"/>
      <c r="I11" s="69" t="n"/>
      <c r="J11" s="24" t="n"/>
    </row>
    <row r="12">
      <c r="A12" s="69" t="n"/>
      <c r="B12" s="24" t="n"/>
      <c r="C12" s="24" t="n"/>
      <c r="D12" s="24" t="n"/>
      <c r="E12" s="24" t="n"/>
      <c r="F12" s="24" t="n"/>
      <c r="G12" s="25" t="inlineStr">
        <is>
          <t>Not applied</t>
        </is>
      </c>
      <c r="H12" s="24" t="n"/>
      <c r="I12" s="69" t="n"/>
      <c r="J12" s="24" t="n"/>
    </row>
    <row r="13">
      <c r="A13" s="69" t="n"/>
      <c r="B13" s="24" t="n"/>
      <c r="C13" s="24" t="n"/>
      <c r="D13" s="24" t="n"/>
      <c r="E13" s="24" t="n"/>
      <c r="F13" s="24" t="n"/>
      <c r="G13" s="25" t="inlineStr">
        <is>
          <t>Not applied</t>
        </is>
      </c>
      <c r="H13" s="24" t="n"/>
      <c r="I13" s="69" t="n"/>
      <c r="J13" s="24" t="n"/>
    </row>
    <row r="14">
      <c r="A14" s="69" t="n"/>
      <c r="B14" s="24" t="n"/>
      <c r="C14" s="24" t="n"/>
      <c r="D14" s="24" t="n"/>
      <c r="E14" s="24" t="n"/>
      <c r="F14" s="24" t="n"/>
      <c r="G14" s="25" t="inlineStr">
        <is>
          <t>Not applied</t>
        </is>
      </c>
      <c r="H14" s="24" t="n"/>
      <c r="I14" s="69" t="n"/>
      <c r="J14" s="24" t="n"/>
    </row>
    <row r="15">
      <c r="A15" s="69" t="n"/>
      <c r="B15" s="24" t="n"/>
      <c r="C15" s="24" t="n"/>
      <c r="D15" s="24" t="n"/>
      <c r="E15" s="24" t="n"/>
      <c r="F15" s="24" t="n"/>
      <c r="G15" s="25" t="inlineStr">
        <is>
          <t>Not applied</t>
        </is>
      </c>
      <c r="H15" s="24" t="n"/>
      <c r="I15" s="69" t="n"/>
      <c r="J15" s="24" t="n"/>
    </row>
    <row r="16">
      <c r="A16" s="69" t="n"/>
      <c r="B16" s="24" t="n"/>
      <c r="C16" s="24" t="n"/>
      <c r="D16" s="24" t="n"/>
      <c r="E16" s="24" t="n"/>
      <c r="F16" s="24" t="n"/>
      <c r="G16" s="25" t="inlineStr">
        <is>
          <t>Not applied</t>
        </is>
      </c>
      <c r="H16" s="24" t="n"/>
      <c r="I16" s="69" t="n"/>
      <c r="J16" s="24" t="n"/>
    </row>
    <row r="17">
      <c r="A17" s="69" t="n"/>
      <c r="B17" s="24" t="n"/>
      <c r="C17" s="24" t="n"/>
      <c r="D17" s="24" t="n"/>
      <c r="E17" s="24" t="n"/>
      <c r="F17" s="24" t="n"/>
      <c r="G17" s="25" t="inlineStr">
        <is>
          <t>Not applied</t>
        </is>
      </c>
      <c r="H17" s="24" t="n"/>
      <c r="I17" s="69" t="n"/>
      <c r="J17" s="24" t="n"/>
    </row>
    <row r="18">
      <c r="A18" s="69" t="n"/>
      <c r="B18" s="24" t="n"/>
      <c r="C18" s="24" t="n"/>
      <c r="D18" s="24" t="n"/>
      <c r="E18" s="24" t="n"/>
      <c r="F18" s="24" t="n"/>
      <c r="G18" s="25" t="inlineStr">
        <is>
          <t>Not applied</t>
        </is>
      </c>
      <c r="H18" s="24" t="n"/>
      <c r="I18" s="69" t="n"/>
      <c r="J18" s="24" t="n"/>
    </row>
    <row r="19">
      <c r="A19" s="69" t="n"/>
      <c r="B19" s="24" t="n"/>
      <c r="C19" s="24" t="n"/>
      <c r="D19" s="24" t="n"/>
      <c r="E19" s="24" t="n"/>
      <c r="F19" s="24" t="n"/>
      <c r="G19" s="25" t="inlineStr">
        <is>
          <t>Not applied</t>
        </is>
      </c>
      <c r="H19" s="24" t="n"/>
      <c r="I19" s="69" t="n"/>
      <c r="J19" s="24" t="n"/>
    </row>
    <row r="20">
      <c r="A20" s="69" t="n"/>
      <c r="B20" s="24" t="n"/>
      <c r="C20" s="24" t="n"/>
      <c r="D20" s="24" t="n"/>
      <c r="E20" s="24" t="n"/>
      <c r="F20" s="24" t="n"/>
      <c r="G20" s="25" t="inlineStr">
        <is>
          <t>Not applied</t>
        </is>
      </c>
      <c r="H20" s="24" t="n"/>
      <c r="I20" s="69" t="n"/>
      <c r="J20" s="24" t="n"/>
    </row>
    <row r="21">
      <c r="A21" s="69" t="n"/>
      <c r="B21" s="24" t="n"/>
      <c r="C21" s="24" t="n"/>
      <c r="D21" s="24" t="n"/>
      <c r="E21" s="24" t="n"/>
      <c r="F21" s="24" t="n"/>
      <c r="G21" s="25" t="inlineStr">
        <is>
          <t>Not applied</t>
        </is>
      </c>
      <c r="H21" s="24" t="n"/>
      <c r="I21" s="69" t="n"/>
      <c r="J21" s="24" t="n"/>
    </row>
    <row r="22">
      <c r="A22" s="69" t="n"/>
      <c r="B22" s="24" t="n"/>
      <c r="C22" s="24" t="n"/>
      <c r="D22" s="24" t="n"/>
      <c r="E22" s="24" t="n"/>
      <c r="F22" s="24" t="n"/>
      <c r="G22" s="25" t="inlineStr">
        <is>
          <t>Not applied</t>
        </is>
      </c>
      <c r="H22" s="24" t="n"/>
      <c r="I22" s="69" t="n"/>
      <c r="J22" s="24" t="n"/>
    </row>
    <row r="23">
      <c r="A23" s="69" t="n"/>
      <c r="B23" s="24" t="n"/>
      <c r="C23" s="24" t="n"/>
      <c r="D23" s="24" t="n"/>
      <c r="E23" s="24" t="n"/>
      <c r="F23" s="24" t="n"/>
      <c r="G23" s="25" t="inlineStr">
        <is>
          <t>Not applied</t>
        </is>
      </c>
      <c r="H23" s="24" t="n"/>
      <c r="I23" s="69" t="n"/>
      <c r="J23" s="24" t="n"/>
    </row>
    <row r="24">
      <c r="A24" s="69" t="n"/>
      <c r="B24" s="24" t="n"/>
      <c r="C24" s="24" t="n"/>
      <c r="D24" s="24" t="n"/>
      <c r="E24" s="24" t="n"/>
      <c r="F24" s="24" t="n"/>
      <c r="G24" s="25" t="inlineStr">
        <is>
          <t>Not applied</t>
        </is>
      </c>
      <c r="H24" s="24" t="n"/>
      <c r="I24" s="69" t="n"/>
      <c r="J24" s="24" t="n"/>
    </row>
    <row r="25">
      <c r="A25" s="69" t="n"/>
      <c r="B25" s="24" t="n"/>
      <c r="C25" s="24" t="n"/>
      <c r="D25" s="24" t="n"/>
      <c r="E25" s="24" t="n"/>
      <c r="F25" s="24" t="n"/>
      <c r="G25" s="25" t="inlineStr">
        <is>
          <t>Not applied</t>
        </is>
      </c>
      <c r="H25" s="24" t="n"/>
      <c r="I25" s="69" t="n"/>
      <c r="J25" s="24" t="n"/>
    </row>
    <row r="26">
      <c r="A26" s="69" t="n"/>
      <c r="B26" s="24" t="n"/>
      <c r="C26" s="24" t="n"/>
      <c r="D26" s="24" t="n"/>
      <c r="E26" s="24" t="n"/>
      <c r="F26" s="24" t="n"/>
      <c r="G26" s="25" t="inlineStr">
        <is>
          <t>Not applied</t>
        </is>
      </c>
      <c r="H26" s="24" t="n"/>
      <c r="I26" s="69" t="n"/>
      <c r="J26" s="24" t="n"/>
    </row>
    <row r="27">
      <c r="A27" s="69" t="n"/>
      <c r="B27" s="24" t="n"/>
      <c r="C27" s="24" t="n"/>
      <c r="D27" s="24" t="n"/>
      <c r="E27" s="24" t="n"/>
      <c r="F27" s="24" t="n"/>
      <c r="G27" s="25" t="inlineStr">
        <is>
          <t>Not applied</t>
        </is>
      </c>
      <c r="H27" s="24" t="n"/>
      <c r="I27" s="69" t="n"/>
      <c r="J27" s="24" t="n"/>
    </row>
    <row r="28">
      <c r="A28" s="69" t="n"/>
      <c r="B28" s="24" t="n"/>
      <c r="C28" s="24" t="n"/>
      <c r="D28" s="24" t="n"/>
      <c r="E28" s="24" t="n"/>
      <c r="F28" s="24" t="n"/>
      <c r="G28" s="25" t="inlineStr">
        <is>
          <t>Not applied</t>
        </is>
      </c>
      <c r="H28" s="24" t="n"/>
      <c r="I28" s="69" t="n"/>
      <c r="J28" s="24" t="n"/>
    </row>
    <row r="29">
      <c r="A29" s="69" t="n"/>
      <c r="B29" s="24" t="n"/>
      <c r="C29" s="24" t="n"/>
      <c r="D29" s="24" t="n"/>
      <c r="E29" s="24" t="n"/>
      <c r="F29" s="24" t="n"/>
      <c r="G29" s="25" t="inlineStr">
        <is>
          <t>Not applied</t>
        </is>
      </c>
      <c r="H29" s="24" t="n"/>
      <c r="I29" s="69" t="n"/>
      <c r="J29" s="24" t="n"/>
    </row>
    <row r="30">
      <c r="A30" s="69" t="n"/>
      <c r="B30" s="24" t="n"/>
      <c r="C30" s="24" t="n"/>
      <c r="D30" s="24" t="n"/>
      <c r="E30" s="24" t="n"/>
      <c r="F30" s="24" t="n"/>
      <c r="G30" s="25" t="inlineStr">
        <is>
          <t>Not applied</t>
        </is>
      </c>
      <c r="H30" s="24" t="n"/>
      <c r="I30" s="69" t="n"/>
      <c r="J30" s="24" t="n"/>
    </row>
    <row r="31">
      <c r="A31" s="69" t="n"/>
      <c r="B31" s="24" t="n"/>
      <c r="C31" s="24" t="n"/>
      <c r="D31" s="24" t="n"/>
      <c r="E31" s="24" t="n"/>
      <c r="F31" s="24" t="n"/>
      <c r="G31" s="25" t="inlineStr">
        <is>
          <t>Not applied</t>
        </is>
      </c>
      <c r="H31" s="24" t="n"/>
      <c r="I31" s="69" t="n"/>
      <c r="J31" s="24" t="n"/>
    </row>
    <row r="32">
      <c r="A32" s="69" t="n"/>
      <c r="B32" s="24" t="n"/>
      <c r="C32" s="24" t="n"/>
      <c r="D32" s="24" t="n"/>
      <c r="E32" s="24" t="n"/>
      <c r="F32" s="24" t="n"/>
      <c r="G32" s="25" t="inlineStr">
        <is>
          <t>Not applied</t>
        </is>
      </c>
      <c r="H32" s="24" t="n"/>
      <c r="I32" s="69" t="n"/>
      <c r="J32" s="24" t="n"/>
    </row>
    <row r="33">
      <c r="A33" s="69" t="n"/>
      <c r="B33" s="24" t="n"/>
      <c r="C33" s="24" t="n"/>
      <c r="D33" s="24" t="n"/>
      <c r="E33" s="24" t="n"/>
      <c r="F33" s="24" t="n"/>
      <c r="G33" s="25" t="inlineStr">
        <is>
          <t>Not applied</t>
        </is>
      </c>
      <c r="H33" s="24" t="n"/>
      <c r="I33" s="69" t="n"/>
      <c r="J33" s="24" t="n"/>
    </row>
    <row r="34">
      <c r="A34" s="69" t="n"/>
      <c r="B34" s="24" t="n"/>
      <c r="C34" s="24" t="n"/>
      <c r="D34" s="24" t="n"/>
      <c r="E34" s="24" t="n"/>
      <c r="F34" s="24" t="n"/>
      <c r="G34" s="25" t="inlineStr">
        <is>
          <t>Not applied</t>
        </is>
      </c>
      <c r="H34" s="24" t="n"/>
      <c r="I34" s="69" t="n"/>
      <c r="J34" s="24" t="n"/>
    </row>
    <row r="35">
      <c r="A35" s="69" t="n"/>
      <c r="B35" s="24" t="n"/>
      <c r="C35" s="24" t="n"/>
      <c r="D35" s="24" t="n"/>
      <c r="E35" s="24" t="n"/>
      <c r="F35" s="24" t="n"/>
      <c r="G35" s="25" t="inlineStr">
        <is>
          <t>Not applied</t>
        </is>
      </c>
      <c r="H35" s="24" t="n"/>
      <c r="I35" s="69" t="n"/>
      <c r="J35" s="24" t="n"/>
    </row>
    <row r="36">
      <c r="A36" s="69" t="n"/>
      <c r="B36" s="24" t="n"/>
      <c r="C36" s="24" t="n"/>
      <c r="D36" s="24" t="n"/>
      <c r="E36" s="24" t="n"/>
      <c r="F36" s="24" t="n"/>
      <c r="G36" s="25" t="inlineStr">
        <is>
          <t>Not applied</t>
        </is>
      </c>
      <c r="H36" s="24" t="n"/>
      <c r="I36" s="69" t="n"/>
      <c r="J36" s="24" t="n"/>
    </row>
    <row r="37">
      <c r="A37" s="69" t="n"/>
      <c r="B37" s="24" t="n"/>
      <c r="C37" s="24" t="n"/>
      <c r="D37" s="24" t="n"/>
      <c r="E37" s="24" t="n"/>
      <c r="F37" s="24" t="n"/>
      <c r="G37" s="25" t="inlineStr">
        <is>
          <t>Not applied</t>
        </is>
      </c>
      <c r="H37" s="24" t="n"/>
      <c r="I37" s="69" t="n"/>
      <c r="J37" s="24" t="n"/>
    </row>
    <row r="38">
      <c r="A38" s="69" t="n"/>
      <c r="B38" s="24" t="n"/>
      <c r="C38" s="24" t="n"/>
      <c r="D38" s="24" t="n"/>
      <c r="E38" s="24" t="n"/>
      <c r="F38" s="24" t="n"/>
      <c r="G38" s="25" t="inlineStr">
        <is>
          <t>Not applied</t>
        </is>
      </c>
      <c r="H38" s="24" t="n"/>
      <c r="I38" s="69" t="n"/>
      <c r="J38" s="24" t="n"/>
    </row>
    <row r="39">
      <c r="A39" s="69" t="n"/>
      <c r="B39" s="24" t="n"/>
      <c r="C39" s="24" t="n"/>
      <c r="D39" s="24" t="n"/>
      <c r="E39" s="24" t="n"/>
      <c r="F39" s="24" t="n"/>
      <c r="G39" s="25" t="inlineStr">
        <is>
          <t>Not applied</t>
        </is>
      </c>
      <c r="H39" s="24" t="n"/>
      <c r="I39" s="69" t="n"/>
      <c r="J39" s="24" t="n"/>
    </row>
    <row r="40">
      <c r="A40" s="69" t="n"/>
      <c r="B40" s="24" t="n"/>
      <c r="C40" s="24" t="n"/>
      <c r="D40" s="24" t="n"/>
      <c r="E40" s="24" t="n"/>
      <c r="F40" s="24" t="n"/>
      <c r="G40" s="25" t="inlineStr">
        <is>
          <t>Not applied</t>
        </is>
      </c>
      <c r="H40" s="24" t="n"/>
      <c r="I40" s="69" t="n"/>
      <c r="J40" s="24" t="n"/>
    </row>
    <row r="41">
      <c r="A41" s="69" t="n"/>
      <c r="B41" s="24" t="n"/>
      <c r="C41" s="24" t="n"/>
      <c r="D41" s="24" t="n"/>
      <c r="E41" s="24" t="n"/>
      <c r="F41" s="24" t="n"/>
      <c r="G41" s="25" t="inlineStr">
        <is>
          <t>Not applied</t>
        </is>
      </c>
      <c r="H41" s="24" t="n"/>
      <c r="I41" s="69" t="n"/>
      <c r="J41" s="24" t="n"/>
    </row>
    <row r="42">
      <c r="A42" s="69" t="n"/>
      <c r="B42" s="24" t="n"/>
      <c r="C42" s="24" t="n"/>
      <c r="D42" s="24" t="n"/>
      <c r="E42" s="24" t="n"/>
      <c r="F42" s="24" t="n"/>
      <c r="G42" s="25" t="inlineStr">
        <is>
          <t>Not applied</t>
        </is>
      </c>
      <c r="H42" s="24" t="n"/>
      <c r="I42" s="69" t="n"/>
      <c r="J42" s="24" t="n"/>
    </row>
    <row r="43">
      <c r="A43" s="69" t="n"/>
      <c r="B43" s="24" t="n"/>
      <c r="C43" s="24" t="n"/>
      <c r="D43" s="24" t="n"/>
      <c r="E43" s="24" t="n"/>
      <c r="F43" s="24" t="n"/>
      <c r="G43" s="25" t="inlineStr">
        <is>
          <t>Not applied</t>
        </is>
      </c>
      <c r="H43" s="24" t="n"/>
      <c r="I43" s="69" t="n"/>
      <c r="J43" s="24" t="n"/>
    </row>
    <row r="44">
      <c r="A44" s="69" t="n"/>
      <c r="B44" s="24" t="n"/>
      <c r="C44" s="24" t="n"/>
      <c r="D44" s="24" t="n"/>
      <c r="E44" s="24" t="n"/>
      <c r="F44" s="24" t="n"/>
      <c r="G44" s="25" t="inlineStr">
        <is>
          <t>Not applied</t>
        </is>
      </c>
      <c r="H44" s="24" t="n"/>
      <c r="I44" s="69" t="n"/>
      <c r="J44" s="24" t="n"/>
    </row>
    <row r="45">
      <c r="A45" s="69" t="n"/>
      <c r="B45" s="24" t="n"/>
      <c r="C45" s="24" t="n"/>
      <c r="D45" s="24" t="n"/>
      <c r="E45" s="24" t="n"/>
      <c r="F45" s="24" t="n"/>
      <c r="G45" s="25" t="inlineStr">
        <is>
          <t>Not applied</t>
        </is>
      </c>
      <c r="H45" s="24" t="n"/>
      <c r="I45" s="69" t="n"/>
      <c r="J45" s="24" t="n"/>
    </row>
    <row r="46">
      <c r="A46" s="69" t="n"/>
      <c r="B46" s="24" t="n"/>
      <c r="C46" s="24" t="n"/>
      <c r="D46" s="24" t="n"/>
      <c r="E46" s="24" t="n"/>
      <c r="F46" s="24" t="n"/>
      <c r="G46" s="25" t="inlineStr">
        <is>
          <t>Not applied</t>
        </is>
      </c>
      <c r="H46" s="24" t="n"/>
      <c r="I46" s="69" t="n"/>
      <c r="J46" s="24" t="n"/>
    </row>
    <row r="47">
      <c r="A47" s="69" t="n"/>
      <c r="B47" s="24" t="n"/>
      <c r="C47" s="24" t="n"/>
      <c r="D47" s="24" t="n"/>
      <c r="E47" s="24" t="n"/>
      <c r="F47" s="24" t="n"/>
      <c r="G47" s="25" t="inlineStr">
        <is>
          <t>Not applied</t>
        </is>
      </c>
      <c r="H47" s="24" t="n"/>
      <c r="I47" s="69" t="n"/>
      <c r="J47" s="24" t="n"/>
    </row>
    <row r="48">
      <c r="A48" s="69" t="n"/>
      <c r="B48" s="24" t="n"/>
      <c r="C48" s="24" t="n"/>
      <c r="D48" s="24" t="n"/>
      <c r="E48" s="24" t="n"/>
      <c r="F48" s="24" t="n"/>
      <c r="G48" s="25" t="inlineStr">
        <is>
          <t>Not applied</t>
        </is>
      </c>
      <c r="H48" s="24" t="n"/>
      <c r="I48" s="69" t="n"/>
      <c r="J48" s="24" t="n"/>
    </row>
    <row r="49">
      <c r="A49" s="69" t="n"/>
      <c r="B49" s="24" t="n"/>
      <c r="C49" s="24" t="n"/>
      <c r="D49" s="24" t="n"/>
      <c r="E49" s="24" t="n"/>
      <c r="F49" s="24" t="n"/>
      <c r="G49" s="25" t="inlineStr">
        <is>
          <t>Not applied</t>
        </is>
      </c>
      <c r="H49" s="24" t="n"/>
      <c r="I49" s="69" t="n"/>
      <c r="J49" s="24" t="n"/>
    </row>
    <row r="50">
      <c r="A50" s="69" t="n"/>
      <c r="B50" s="24" t="n"/>
      <c r="C50" s="24" t="n"/>
      <c r="D50" s="24" t="n"/>
      <c r="E50" s="24" t="n"/>
      <c r="F50" s="24" t="n"/>
      <c r="G50" s="25" t="inlineStr">
        <is>
          <t>Not applied</t>
        </is>
      </c>
      <c r="H50" s="24" t="n"/>
      <c r="I50" s="69" t="n"/>
      <c r="J50" s="24" t="n"/>
    </row>
    <row r="51">
      <c r="A51" s="69" t="n"/>
      <c r="B51" s="24" t="n"/>
      <c r="C51" s="24" t="n"/>
      <c r="D51" s="24" t="n"/>
      <c r="E51" s="24" t="n"/>
      <c r="F51" s="24" t="n"/>
      <c r="G51" s="25" t="inlineStr">
        <is>
          <t>Not applied</t>
        </is>
      </c>
      <c r="H51" s="24" t="n"/>
      <c r="I51" s="69" t="n"/>
      <c r="J51" s="24" t="n"/>
    </row>
    <row r="52">
      <c r="A52" s="69" t="n"/>
      <c r="B52" s="24" t="n"/>
      <c r="C52" s="24" t="n"/>
      <c r="D52" s="24" t="n"/>
      <c r="E52" s="24" t="n"/>
      <c r="F52" s="24" t="n"/>
      <c r="G52" s="25" t="inlineStr">
        <is>
          <t>Not applied</t>
        </is>
      </c>
      <c r="H52" s="24" t="n"/>
      <c r="I52" s="69" t="n"/>
      <c r="J52" s="24" t="n"/>
    </row>
    <row r="53">
      <c r="A53" s="69" t="n"/>
      <c r="B53" s="24" t="n"/>
      <c r="C53" s="24" t="n"/>
      <c r="D53" s="24" t="n"/>
      <c r="E53" s="24" t="n"/>
      <c r="F53" s="24" t="n"/>
      <c r="G53" s="25" t="inlineStr">
        <is>
          <t>Not applied</t>
        </is>
      </c>
      <c r="H53" s="24" t="n"/>
      <c r="I53" s="69" t="n"/>
      <c r="J53" s="24" t="n"/>
    </row>
    <row r="54">
      <c r="A54" s="69" t="n"/>
      <c r="B54" s="24" t="n"/>
      <c r="C54" s="24" t="n"/>
      <c r="D54" s="24" t="n"/>
      <c r="E54" s="24" t="n"/>
      <c r="F54" s="24" t="n"/>
      <c r="G54" s="25" t="inlineStr">
        <is>
          <t>Not applied</t>
        </is>
      </c>
      <c r="H54" s="24" t="n"/>
      <c r="I54" s="69" t="n"/>
      <c r="J54" s="24" t="n"/>
    </row>
    <row r="55">
      <c r="A55" s="69" t="n"/>
      <c r="B55" s="24" t="n"/>
      <c r="C55" s="24" t="n"/>
      <c r="D55" s="24" t="n"/>
      <c r="E55" s="24" t="n"/>
      <c r="F55" s="24" t="n"/>
      <c r="G55" s="25" t="inlineStr">
        <is>
          <t>Not applied</t>
        </is>
      </c>
      <c r="H55" s="24" t="n"/>
      <c r="I55" s="69" t="n"/>
      <c r="J55" s="24" t="n"/>
    </row>
    <row r="56">
      <c r="A56" s="69" t="n"/>
      <c r="B56" s="24" t="n"/>
      <c r="C56" s="24" t="n"/>
      <c r="D56" s="24" t="n"/>
      <c r="E56" s="24" t="n"/>
      <c r="F56" s="24" t="n"/>
      <c r="G56" s="25" t="inlineStr">
        <is>
          <t>Not applied</t>
        </is>
      </c>
      <c r="H56" s="24" t="n"/>
      <c r="I56" s="69" t="n"/>
      <c r="J56" s="24" t="n"/>
    </row>
    <row r="57">
      <c r="A57" s="69" t="n"/>
      <c r="B57" s="24" t="n"/>
      <c r="C57" s="24" t="n"/>
      <c r="D57" s="24" t="n"/>
      <c r="E57" s="24" t="n"/>
      <c r="F57" s="24" t="n"/>
      <c r="G57" s="25" t="inlineStr">
        <is>
          <t>Not applied</t>
        </is>
      </c>
      <c r="H57" s="24" t="n"/>
      <c r="I57" s="69" t="n"/>
      <c r="J57" s="24" t="n"/>
    </row>
    <row r="58">
      <c r="A58" s="69" t="n"/>
      <c r="B58" s="24" t="n"/>
      <c r="C58" s="24" t="n"/>
      <c r="D58" s="24" t="n"/>
      <c r="E58" s="24" t="n"/>
      <c r="F58" s="24" t="n"/>
      <c r="G58" s="25" t="inlineStr">
        <is>
          <t>Not applied</t>
        </is>
      </c>
      <c r="H58" s="24" t="n"/>
      <c r="I58" s="69" t="n"/>
      <c r="J58" s="24" t="n"/>
    </row>
    <row r="59">
      <c r="A59" s="69" t="n"/>
      <c r="B59" s="24" t="n"/>
      <c r="C59" s="24" t="n"/>
      <c r="D59" s="24" t="n"/>
      <c r="E59" s="24" t="n"/>
      <c r="F59" s="24" t="n"/>
      <c r="G59" s="25" t="inlineStr">
        <is>
          <t>Not applied</t>
        </is>
      </c>
      <c r="H59" s="24" t="n"/>
      <c r="I59" s="69" t="n"/>
      <c r="J59" s="24" t="n"/>
    </row>
    <row r="60">
      <c r="A60" s="69" t="n"/>
      <c r="B60" s="24" t="n"/>
      <c r="C60" s="24" t="n"/>
      <c r="D60" s="24" t="n"/>
      <c r="E60" s="24" t="n"/>
      <c r="F60" s="24" t="n"/>
      <c r="G60" s="25" t="inlineStr">
        <is>
          <t>Not applied</t>
        </is>
      </c>
      <c r="H60" s="24" t="n"/>
      <c r="I60" s="69" t="n"/>
      <c r="J60" s="24" t="n"/>
    </row>
    <row r="61">
      <c r="A61" s="69" t="n"/>
      <c r="B61" s="24" t="n"/>
      <c r="C61" s="24" t="n"/>
      <c r="D61" s="24" t="n"/>
      <c r="E61" s="24" t="n"/>
      <c r="F61" s="24" t="n"/>
      <c r="G61" s="25" t="inlineStr">
        <is>
          <t>Not applied</t>
        </is>
      </c>
      <c r="H61" s="24" t="n"/>
      <c r="I61" s="69" t="n"/>
      <c r="J61" s="24" t="n"/>
    </row>
    <row r="62">
      <c r="A62" s="69" t="n"/>
      <c r="B62" s="24" t="n"/>
      <c r="C62" s="24" t="n"/>
      <c r="D62" s="24" t="n"/>
      <c r="E62" s="24" t="n"/>
      <c r="F62" s="24" t="n"/>
      <c r="G62" s="25" t="inlineStr">
        <is>
          <t>Not applied</t>
        </is>
      </c>
      <c r="H62" s="24" t="n"/>
      <c r="I62" s="69" t="n"/>
      <c r="J62" s="24" t="n"/>
    </row>
    <row r="63">
      <c r="A63" s="69" t="n"/>
      <c r="B63" s="24" t="n"/>
      <c r="C63" s="24" t="n"/>
      <c r="D63" s="24" t="n"/>
      <c r="E63" s="24" t="n"/>
      <c r="F63" s="24" t="n"/>
      <c r="G63" s="25" t="inlineStr">
        <is>
          <t>Not applied</t>
        </is>
      </c>
      <c r="H63" s="24" t="n"/>
      <c r="I63" s="69" t="n"/>
      <c r="J63" s="24" t="n"/>
    </row>
    <row r="64">
      <c r="A64" s="69" t="n"/>
      <c r="B64" s="24" t="n"/>
      <c r="C64" s="24" t="n"/>
      <c r="D64" s="24" t="n"/>
      <c r="E64" s="24" t="n"/>
      <c r="F64" s="24" t="n"/>
      <c r="G64" s="25" t="inlineStr">
        <is>
          <t>Not applied</t>
        </is>
      </c>
      <c r="H64" s="24" t="n"/>
      <c r="I64" s="69" t="n"/>
      <c r="J64" s="24" t="n"/>
    </row>
    <row r="65">
      <c r="A65" s="69" t="n"/>
      <c r="B65" s="24" t="n"/>
      <c r="C65" s="24" t="n"/>
      <c r="D65" s="24" t="n"/>
      <c r="E65" s="24" t="n"/>
      <c r="F65" s="24" t="n"/>
      <c r="G65" s="25" t="inlineStr">
        <is>
          <t>Not applied</t>
        </is>
      </c>
      <c r="H65" s="24" t="n"/>
      <c r="I65" s="69" t="n"/>
      <c r="J65" s="24" t="n"/>
    </row>
    <row r="66">
      <c r="A66" s="69" t="n"/>
      <c r="B66" s="24" t="n"/>
      <c r="C66" s="24" t="n"/>
      <c r="D66" s="24" t="n"/>
      <c r="E66" s="24" t="n"/>
      <c r="F66" s="24" t="n"/>
      <c r="G66" s="25" t="inlineStr">
        <is>
          <t>Not applied</t>
        </is>
      </c>
      <c r="H66" s="24" t="n"/>
      <c r="I66" s="69" t="n"/>
      <c r="J66" s="24" t="n"/>
    </row>
    <row r="67">
      <c r="A67" s="69" t="n"/>
      <c r="B67" s="24" t="n"/>
      <c r="C67" s="24" t="n"/>
      <c r="D67" s="24" t="n"/>
      <c r="E67" s="24" t="n"/>
      <c r="F67" s="24" t="n"/>
      <c r="G67" s="25" t="inlineStr">
        <is>
          <t>Not applied</t>
        </is>
      </c>
      <c r="H67" s="24" t="n"/>
      <c r="I67" s="69" t="n"/>
      <c r="J67" s="24" t="n"/>
    </row>
    <row r="68">
      <c r="A68" s="69" t="n"/>
      <c r="B68" s="24" t="n"/>
      <c r="C68" s="24" t="n"/>
      <c r="D68" s="24" t="n"/>
      <c r="E68" s="24" t="n"/>
      <c r="F68" s="24" t="n"/>
      <c r="G68" s="25" t="inlineStr">
        <is>
          <t>Not applied</t>
        </is>
      </c>
      <c r="H68" s="24" t="n"/>
      <c r="I68" s="69" t="n"/>
      <c r="J68" s="24" t="n"/>
    </row>
    <row r="69">
      <c r="A69" s="69" t="n"/>
      <c r="B69" s="24" t="n"/>
      <c r="C69" s="24" t="n"/>
      <c r="D69" s="24" t="n"/>
      <c r="E69" s="24" t="n"/>
      <c r="F69" s="24" t="n"/>
      <c r="G69" s="25" t="inlineStr">
        <is>
          <t>Not applied</t>
        </is>
      </c>
      <c r="H69" s="24" t="n"/>
      <c r="I69" s="69" t="n"/>
      <c r="J69" s="24" t="n"/>
    </row>
    <row r="70">
      <c r="A70" s="69" t="n"/>
      <c r="B70" s="24" t="n"/>
      <c r="C70" s="24" t="n"/>
      <c r="D70" s="24" t="n"/>
      <c r="E70" s="24" t="n"/>
      <c r="F70" s="24" t="n"/>
      <c r="G70" s="25" t="inlineStr">
        <is>
          <t>Not applied</t>
        </is>
      </c>
      <c r="H70" s="24" t="n"/>
      <c r="I70" s="69" t="n"/>
      <c r="J70" s="24" t="n"/>
    </row>
    <row r="71">
      <c r="A71" s="69" t="n"/>
      <c r="B71" s="24" t="n"/>
      <c r="C71" s="24" t="n"/>
      <c r="D71" s="24" t="n"/>
      <c r="E71" s="24" t="n"/>
      <c r="F71" s="24" t="n"/>
      <c r="G71" s="25" t="inlineStr">
        <is>
          <t>Not applied</t>
        </is>
      </c>
      <c r="H71" s="24" t="n"/>
      <c r="I71" s="69" t="n"/>
      <c r="J71" s="24" t="n"/>
    </row>
    <row r="72">
      <c r="A72" s="69" t="n"/>
      <c r="B72" s="24" t="n"/>
      <c r="C72" s="24" t="n"/>
      <c r="D72" s="24" t="n"/>
      <c r="E72" s="24" t="n"/>
      <c r="F72" s="24" t="n"/>
      <c r="G72" s="25" t="inlineStr">
        <is>
          <t>Not applied</t>
        </is>
      </c>
      <c r="H72" s="24" t="n"/>
      <c r="I72" s="69" t="n"/>
      <c r="J72" s="24" t="n"/>
    </row>
    <row r="73">
      <c r="A73" s="69" t="n"/>
      <c r="B73" s="24" t="n"/>
      <c r="C73" s="24" t="n"/>
      <c r="D73" s="24" t="n"/>
      <c r="E73" s="24" t="n"/>
      <c r="F73" s="24" t="n"/>
      <c r="G73" s="25" t="inlineStr">
        <is>
          <t>Not applied</t>
        </is>
      </c>
      <c r="H73" s="24" t="n"/>
      <c r="I73" s="69" t="n"/>
      <c r="J73" s="24" t="n"/>
    </row>
    <row r="74">
      <c r="A74" s="69" t="n"/>
      <c r="B74" s="24" t="n"/>
      <c r="C74" s="24" t="n"/>
      <c r="D74" s="24" t="n"/>
      <c r="E74" s="24" t="n"/>
      <c r="F74" s="24" t="n"/>
      <c r="G74" s="25" t="inlineStr">
        <is>
          <t>Not applied</t>
        </is>
      </c>
      <c r="H74" s="24" t="n"/>
      <c r="I74" s="69" t="n"/>
      <c r="J74" s="24" t="n"/>
    </row>
    <row r="75">
      <c r="A75" s="69" t="n"/>
      <c r="B75" s="24" t="n"/>
      <c r="C75" s="24" t="n"/>
      <c r="D75" s="24" t="n"/>
      <c r="E75" s="24" t="n"/>
      <c r="F75" s="24" t="n"/>
      <c r="G75" s="25" t="inlineStr">
        <is>
          <t>Not applied</t>
        </is>
      </c>
      <c r="H75" s="24" t="n"/>
      <c r="I75" s="69" t="n"/>
      <c r="J75" s="24" t="n"/>
    </row>
    <row r="76">
      <c r="A76" s="69" t="n"/>
      <c r="B76" s="24" t="n"/>
      <c r="C76" s="24" t="n"/>
      <c r="D76" s="24" t="n"/>
      <c r="E76" s="24" t="n"/>
      <c r="F76" s="24" t="n"/>
      <c r="G76" s="25" t="inlineStr">
        <is>
          <t>Not applied</t>
        </is>
      </c>
      <c r="H76" s="24" t="n"/>
      <c r="I76" s="69" t="n"/>
      <c r="J76" s="24" t="n"/>
    </row>
    <row r="77">
      <c r="A77" s="69" t="n"/>
      <c r="B77" s="24" t="n"/>
      <c r="C77" s="24" t="n"/>
      <c r="D77" s="24" t="n"/>
      <c r="E77" s="24" t="n"/>
      <c r="F77" s="24" t="n"/>
      <c r="G77" s="25" t="inlineStr">
        <is>
          <t>Not applied</t>
        </is>
      </c>
      <c r="H77" s="24" t="n"/>
      <c r="I77" s="69" t="n"/>
      <c r="J77" s="24" t="n"/>
    </row>
    <row r="78">
      <c r="A78" s="69" t="n"/>
      <c r="B78" s="24" t="n"/>
      <c r="C78" s="24" t="n"/>
      <c r="D78" s="24" t="n"/>
      <c r="E78" s="24" t="n"/>
      <c r="F78" s="24" t="n"/>
      <c r="G78" s="25" t="inlineStr">
        <is>
          <t>Not applied</t>
        </is>
      </c>
      <c r="H78" s="24" t="n"/>
      <c r="I78" s="69" t="n"/>
      <c r="J78" s="24" t="n"/>
    </row>
    <row r="79">
      <c r="A79" s="69" t="n"/>
      <c r="B79" s="24" t="n"/>
      <c r="C79" s="24" t="n"/>
      <c r="D79" s="24" t="n"/>
      <c r="E79" s="24" t="n"/>
      <c r="F79" s="24" t="n"/>
      <c r="G79" s="25" t="inlineStr">
        <is>
          <t>Not applied</t>
        </is>
      </c>
      <c r="H79" s="24" t="n"/>
      <c r="I79" s="69" t="n"/>
      <c r="J79" s="24" t="n"/>
    </row>
    <row r="80">
      <c r="A80" s="69" t="n"/>
      <c r="B80" s="24" t="n"/>
      <c r="C80" s="24" t="n"/>
      <c r="D80" s="24" t="n"/>
      <c r="E80" s="24" t="n"/>
      <c r="F80" s="24" t="n"/>
      <c r="G80" s="25" t="inlineStr">
        <is>
          <t>Not applied</t>
        </is>
      </c>
      <c r="H80" s="24" t="n"/>
      <c r="I80" s="69" t="n"/>
      <c r="J80" s="24" t="n"/>
    </row>
    <row r="81">
      <c r="A81" s="69" t="n"/>
      <c r="B81" s="24" t="n"/>
      <c r="C81" s="24" t="n"/>
      <c r="D81" s="24" t="n"/>
      <c r="E81" s="24" t="n"/>
      <c r="F81" s="24" t="n"/>
      <c r="G81" s="25" t="inlineStr">
        <is>
          <t>Not applied</t>
        </is>
      </c>
      <c r="H81" s="24" t="n"/>
      <c r="I81" s="69" t="n"/>
      <c r="J81" s="24" t="n"/>
    </row>
    <row r="82">
      <c r="A82" s="69" t="n"/>
      <c r="B82" s="24" t="n"/>
      <c r="C82" s="24" t="n"/>
      <c r="D82" s="24" t="n"/>
      <c r="E82" s="24" t="n"/>
      <c r="F82" s="24" t="n"/>
      <c r="G82" s="25" t="inlineStr">
        <is>
          <t>Not applied</t>
        </is>
      </c>
      <c r="H82" s="24" t="n"/>
      <c r="I82" s="69" t="n"/>
      <c r="J82" s="24" t="n"/>
    </row>
    <row r="83">
      <c r="A83" s="69" t="n"/>
      <c r="B83" s="24" t="n"/>
      <c r="C83" s="24" t="n"/>
      <c r="D83" s="24" t="n"/>
      <c r="E83" s="24" t="n"/>
      <c r="F83" s="24" t="n"/>
      <c r="G83" s="25" t="inlineStr">
        <is>
          <t>Not applied</t>
        </is>
      </c>
      <c r="H83" s="24" t="n"/>
      <c r="I83" s="69" t="n"/>
      <c r="J83" s="24" t="n"/>
    </row>
    <row r="84">
      <c r="A84" s="69" t="n"/>
      <c r="B84" s="24" t="n"/>
      <c r="C84" s="24" t="n"/>
      <c r="D84" s="24" t="n"/>
      <c r="E84" s="24" t="n"/>
      <c r="F84" s="24" t="n"/>
      <c r="G84" s="25" t="inlineStr">
        <is>
          <t>Not applied</t>
        </is>
      </c>
      <c r="H84" s="24" t="n"/>
      <c r="I84" s="69" t="n"/>
      <c r="J84" s="24" t="n"/>
    </row>
    <row r="85">
      <c r="A85" s="69" t="n"/>
      <c r="B85" s="24" t="n"/>
      <c r="C85" s="24" t="n"/>
      <c r="D85" s="24" t="n"/>
      <c r="E85" s="24" t="n"/>
      <c r="F85" s="24" t="n"/>
      <c r="G85" s="25" t="inlineStr">
        <is>
          <t>Not applied</t>
        </is>
      </c>
      <c r="H85" s="24" t="n"/>
      <c r="I85" s="69" t="n"/>
      <c r="J85" s="24" t="n"/>
    </row>
    <row r="86">
      <c r="A86" s="69" t="n"/>
      <c r="B86" s="24" t="n"/>
      <c r="C86" s="24" t="n"/>
      <c r="D86" s="24" t="n"/>
      <c r="E86" s="24" t="n"/>
      <c r="F86" s="24" t="n"/>
      <c r="G86" s="25" t="inlineStr">
        <is>
          <t>Not applied</t>
        </is>
      </c>
      <c r="H86" s="24" t="n"/>
      <c r="I86" s="69" t="n"/>
      <c r="J86" s="24" t="n"/>
    </row>
    <row r="87">
      <c r="A87" s="69" t="n"/>
      <c r="B87" s="24" t="n"/>
      <c r="C87" s="24" t="n"/>
      <c r="D87" s="24" t="n"/>
      <c r="E87" s="24" t="n"/>
      <c r="F87" s="24" t="n"/>
      <c r="G87" s="25" t="inlineStr">
        <is>
          <t>Not applied</t>
        </is>
      </c>
      <c r="H87" s="24" t="n"/>
      <c r="I87" s="69" t="n"/>
      <c r="J87" s="24" t="n"/>
    </row>
    <row r="88">
      <c r="A88" s="69" t="n"/>
      <c r="B88" s="24" t="n"/>
      <c r="C88" s="24" t="n"/>
      <c r="D88" s="24" t="n"/>
      <c r="E88" s="24" t="n"/>
      <c r="F88" s="24" t="n"/>
      <c r="G88" s="25" t="inlineStr">
        <is>
          <t>Not applied</t>
        </is>
      </c>
      <c r="H88" s="24" t="n"/>
      <c r="I88" s="69" t="n"/>
      <c r="J88" s="24" t="n"/>
    </row>
    <row r="89">
      <c r="A89" s="69" t="n"/>
      <c r="B89" s="24" t="n"/>
      <c r="C89" s="24" t="n"/>
      <c r="D89" s="24" t="n"/>
      <c r="E89" s="24" t="n"/>
      <c r="F89" s="24" t="n"/>
      <c r="G89" s="25" t="inlineStr">
        <is>
          <t>Not applied</t>
        </is>
      </c>
      <c r="H89" s="24" t="n"/>
      <c r="I89" s="69" t="n"/>
      <c r="J89" s="24" t="n"/>
    </row>
    <row r="90">
      <c r="A90" s="69" t="n"/>
      <c r="B90" s="24" t="n"/>
      <c r="C90" s="24" t="n"/>
      <c r="D90" s="24" t="n"/>
      <c r="E90" s="24" t="n"/>
      <c r="F90" s="24" t="n"/>
      <c r="G90" s="25" t="inlineStr">
        <is>
          <t>Not applied</t>
        </is>
      </c>
      <c r="H90" s="24" t="n"/>
      <c r="I90" s="69" t="n"/>
      <c r="J90" s="24" t="n"/>
    </row>
    <row r="91">
      <c r="A91" s="69" t="n"/>
      <c r="B91" s="24" t="n"/>
      <c r="C91" s="24" t="n"/>
      <c r="D91" s="24" t="n"/>
      <c r="E91" s="24" t="n"/>
      <c r="F91" s="24" t="n"/>
      <c r="G91" s="25" t="inlineStr">
        <is>
          <t>Not applied</t>
        </is>
      </c>
      <c r="H91" s="24" t="n"/>
      <c r="I91" s="69" t="n"/>
      <c r="J91" s="24" t="n"/>
    </row>
    <row r="92">
      <c r="A92" s="69" t="n"/>
      <c r="B92" s="24" t="n"/>
      <c r="C92" s="24" t="n"/>
      <c r="D92" s="24" t="n"/>
      <c r="E92" s="24" t="n"/>
      <c r="F92" s="24" t="n"/>
      <c r="G92" s="25" t="inlineStr">
        <is>
          <t>Not applied</t>
        </is>
      </c>
      <c r="H92" s="24" t="n"/>
      <c r="I92" s="69" t="n"/>
      <c r="J92" s="24" t="n"/>
    </row>
    <row r="93">
      <c r="A93" s="69" t="n"/>
      <c r="B93" s="24" t="n"/>
      <c r="C93" s="24" t="n"/>
      <c r="D93" s="24" t="n"/>
      <c r="E93" s="24" t="n"/>
      <c r="F93" s="24" t="n"/>
      <c r="G93" s="25" t="inlineStr">
        <is>
          <t>Not applied</t>
        </is>
      </c>
      <c r="H93" s="24" t="n"/>
      <c r="I93" s="69" t="n"/>
      <c r="J93" s="24" t="n"/>
    </row>
    <row r="94">
      <c r="A94" s="69" t="n"/>
      <c r="B94" s="24" t="n"/>
      <c r="C94" s="24" t="n"/>
      <c r="D94" s="24" t="n"/>
      <c r="E94" s="24" t="n"/>
      <c r="F94" s="24" t="n"/>
      <c r="G94" s="25" t="inlineStr">
        <is>
          <t>Not applied</t>
        </is>
      </c>
      <c r="H94" s="24" t="n"/>
      <c r="I94" s="69" t="n"/>
      <c r="J94" s="24" t="n"/>
    </row>
    <row r="95">
      <c r="A95" s="69" t="n"/>
      <c r="B95" s="24" t="n"/>
      <c r="C95" s="24" t="n"/>
      <c r="D95" s="24" t="n"/>
      <c r="E95" s="24" t="n"/>
      <c r="F95" s="24" t="n"/>
      <c r="G95" s="25" t="inlineStr">
        <is>
          <t>Not applied</t>
        </is>
      </c>
      <c r="H95" s="24" t="n"/>
      <c r="I95" s="69" t="n"/>
      <c r="J95" s="24" t="n"/>
    </row>
    <row r="96">
      <c r="A96" s="69" t="n"/>
      <c r="B96" s="24" t="n"/>
      <c r="C96" s="24" t="n"/>
      <c r="D96" s="24" t="n"/>
      <c r="E96" s="24" t="n"/>
      <c r="F96" s="24" t="n"/>
      <c r="G96" s="25" t="inlineStr">
        <is>
          <t>Not applied</t>
        </is>
      </c>
      <c r="H96" s="24" t="n"/>
      <c r="I96" s="69" t="n"/>
      <c r="J96" s="24" t="n"/>
    </row>
    <row r="97">
      <c r="A97" s="69" t="n"/>
      <c r="B97" s="24" t="n"/>
      <c r="C97" s="24" t="n"/>
      <c r="D97" s="24" t="n"/>
      <c r="E97" s="24" t="n"/>
      <c r="F97" s="24" t="n"/>
      <c r="G97" s="25" t="inlineStr">
        <is>
          <t>Not applied</t>
        </is>
      </c>
      <c r="H97" s="24" t="n"/>
      <c r="I97" s="69" t="n"/>
      <c r="J97" s="24" t="n"/>
    </row>
    <row r="98">
      <c r="A98" s="69" t="n"/>
      <c r="B98" s="24" t="n"/>
      <c r="C98" s="24" t="n"/>
      <c r="D98" s="24" t="n"/>
      <c r="E98" s="24" t="n"/>
      <c r="F98" s="24" t="n"/>
      <c r="G98" s="25" t="inlineStr">
        <is>
          <t>Not applied</t>
        </is>
      </c>
      <c r="H98" s="24" t="n"/>
      <c r="I98" s="69" t="n"/>
      <c r="J98" s="24" t="n"/>
    </row>
    <row r="99">
      <c r="A99" s="69" t="n"/>
      <c r="B99" s="24" t="n"/>
      <c r="C99" s="24" t="n"/>
      <c r="D99" s="24" t="n"/>
      <c r="E99" s="24" t="n"/>
      <c r="F99" s="24" t="n"/>
      <c r="G99" s="25" t="inlineStr">
        <is>
          <t>Not applied</t>
        </is>
      </c>
      <c r="H99" s="24" t="n"/>
      <c r="I99" s="69" t="n"/>
      <c r="J99" s="24" t="n"/>
    </row>
    <row r="100">
      <c r="A100" s="69" t="n"/>
      <c r="B100" s="24" t="n"/>
      <c r="C100" s="24" t="n"/>
      <c r="D100" s="24" t="n"/>
      <c r="E100" s="24" t="n"/>
      <c r="F100" s="24" t="n"/>
      <c r="G100" s="25" t="inlineStr">
        <is>
          <t>Not applied</t>
        </is>
      </c>
      <c r="H100" s="24" t="n"/>
      <c r="I100" s="69" t="n"/>
      <c r="J100" s="24" t="n"/>
    </row>
    <row r="101">
      <c r="A101" s="69" t="n"/>
      <c r="B101" s="24" t="n"/>
      <c r="C101" s="24" t="n"/>
      <c r="D101" s="24" t="n"/>
      <c r="E101" s="24" t="n"/>
      <c r="F101" s="24" t="n"/>
      <c r="G101" s="25" t="inlineStr">
        <is>
          <t>Not applied</t>
        </is>
      </c>
      <c r="H101" s="24" t="n"/>
      <c r="I101" s="69" t="n"/>
      <c r="J101" s="24" t="n"/>
    </row>
    <row r="102">
      <c r="A102" s="69" t="n"/>
      <c r="B102" s="24" t="n"/>
      <c r="C102" s="24" t="n"/>
      <c r="D102" s="24" t="n"/>
      <c r="E102" s="24" t="n"/>
      <c r="F102" s="24" t="n"/>
      <c r="G102" s="25" t="inlineStr">
        <is>
          <t>Not applied</t>
        </is>
      </c>
      <c r="H102" s="24" t="n"/>
      <c r="I102" s="69" t="n"/>
      <c r="J102" s="24" t="n"/>
    </row>
    <row r="103">
      <c r="A103" s="69" t="n"/>
      <c r="B103" s="24" t="n"/>
      <c r="C103" s="24" t="n"/>
      <c r="D103" s="24" t="n"/>
      <c r="E103" s="24" t="n"/>
      <c r="F103" s="24" t="n"/>
      <c r="G103" s="25" t="inlineStr">
        <is>
          <t>Not applied</t>
        </is>
      </c>
      <c r="H103" s="24" t="n"/>
      <c r="I103" s="69" t="n"/>
      <c r="J103" s="24" t="n"/>
    </row>
    <row r="104">
      <c r="A104" s="69" t="n"/>
      <c r="B104" s="24" t="n"/>
      <c r="C104" s="24" t="n"/>
      <c r="D104" s="24" t="n"/>
      <c r="E104" s="24" t="n"/>
      <c r="F104" s="24" t="n"/>
      <c r="G104" s="25" t="inlineStr">
        <is>
          <t>Not applied</t>
        </is>
      </c>
      <c r="H104" s="24" t="n"/>
      <c r="I104" s="69" t="n"/>
      <c r="J104" s="24" t="n"/>
    </row>
    <row r="105">
      <c r="A105" s="69" t="n"/>
      <c r="B105" s="24" t="n"/>
      <c r="C105" s="24" t="n"/>
      <c r="D105" s="24" t="n"/>
      <c r="E105" s="24" t="n"/>
      <c r="F105" s="24" t="n"/>
      <c r="G105" s="25" t="inlineStr">
        <is>
          <t>Not applied</t>
        </is>
      </c>
      <c r="H105" s="24" t="n"/>
      <c r="I105" s="69" t="n"/>
      <c r="J105" s="24" t="n"/>
    </row>
    <row r="106">
      <c r="A106" s="69" t="n"/>
      <c r="B106" s="24" t="n"/>
      <c r="C106" s="24" t="n"/>
      <c r="D106" s="24" t="n"/>
      <c r="E106" s="24" t="n"/>
      <c r="F106" s="24" t="n"/>
      <c r="G106" s="25" t="inlineStr">
        <is>
          <t>Not applied</t>
        </is>
      </c>
      <c r="H106" s="24" t="n"/>
      <c r="I106" s="69" t="n"/>
      <c r="J106" s="24" t="n"/>
    </row>
    <row r="107">
      <c r="A107" s="69" t="n"/>
      <c r="B107" s="24" t="n"/>
      <c r="C107" s="24" t="n"/>
      <c r="D107" s="24" t="n"/>
      <c r="E107" s="24" t="n"/>
      <c r="F107" s="24" t="n"/>
      <c r="G107" s="25" t="inlineStr">
        <is>
          <t>Not applied</t>
        </is>
      </c>
      <c r="H107" s="24" t="n"/>
      <c r="I107" s="69" t="n"/>
      <c r="J107" s="24" t="n"/>
    </row>
    <row r="108">
      <c r="A108" s="69" t="n"/>
      <c r="B108" s="24" t="n"/>
      <c r="C108" s="24" t="n"/>
      <c r="D108" s="24" t="n"/>
      <c r="E108" s="24" t="n"/>
      <c r="F108" s="24" t="n"/>
      <c r="G108" s="25" t="inlineStr">
        <is>
          <t>Not applied</t>
        </is>
      </c>
      <c r="H108" s="24" t="n"/>
      <c r="I108" s="69" t="n"/>
      <c r="J108" s="24" t="n"/>
    </row>
    <row r="109">
      <c r="A109" s="69" t="n"/>
      <c r="B109" s="24" t="n"/>
      <c r="C109" s="24" t="n"/>
      <c r="D109" s="24" t="n"/>
      <c r="E109" s="24" t="n"/>
      <c r="F109" s="24" t="n"/>
      <c r="G109" s="25" t="inlineStr">
        <is>
          <t>Not applied</t>
        </is>
      </c>
      <c r="H109" s="24" t="n"/>
      <c r="I109" s="69" t="n"/>
      <c r="J109" s="24" t="n"/>
    </row>
    <row r="110">
      <c r="A110" s="69" t="n"/>
      <c r="B110" s="24" t="n"/>
      <c r="C110" s="24" t="n"/>
      <c r="D110" s="24" t="n"/>
      <c r="E110" s="24" t="n"/>
      <c r="F110" s="24" t="n"/>
      <c r="G110" s="25" t="inlineStr">
        <is>
          <t>Not applied</t>
        </is>
      </c>
      <c r="H110" s="24" t="n"/>
      <c r="I110" s="69" t="n"/>
      <c r="J110" s="24" t="n"/>
    </row>
    <row r="111">
      <c r="A111" s="69" t="n"/>
      <c r="B111" s="24" t="n"/>
      <c r="C111" s="24" t="n"/>
      <c r="D111" s="24" t="n"/>
      <c r="E111" s="24" t="n"/>
      <c r="F111" s="24" t="n"/>
      <c r="G111" s="25" t="inlineStr">
        <is>
          <t>Not applied</t>
        </is>
      </c>
      <c r="H111" s="24" t="n"/>
      <c r="I111" s="69" t="n"/>
      <c r="J111" s="24" t="n"/>
    </row>
    <row r="112">
      <c r="A112" s="69" t="n"/>
      <c r="B112" s="24" t="n"/>
      <c r="C112" s="24" t="n"/>
      <c r="D112" s="24" t="n"/>
      <c r="E112" s="24" t="n"/>
      <c r="F112" s="24" t="n"/>
      <c r="G112" s="25" t="inlineStr">
        <is>
          <t>Not applied</t>
        </is>
      </c>
      <c r="H112" s="24" t="n"/>
      <c r="I112" s="69" t="n"/>
      <c r="J112" s="24" t="n"/>
    </row>
    <row r="113">
      <c r="A113" s="69" t="n"/>
      <c r="B113" s="24" t="n"/>
      <c r="C113" s="24" t="n"/>
      <c r="D113" s="24" t="n"/>
      <c r="E113" s="24" t="n"/>
      <c r="F113" s="24" t="n"/>
      <c r="G113" s="25" t="inlineStr">
        <is>
          <t>Not applied</t>
        </is>
      </c>
      <c r="H113" s="24" t="n"/>
      <c r="I113" s="69" t="n"/>
      <c r="J113" s="24" t="n"/>
    </row>
    <row r="114">
      <c r="A114" s="69" t="n"/>
      <c r="B114" s="24" t="n"/>
      <c r="C114" s="24" t="n"/>
      <c r="D114" s="24" t="n"/>
      <c r="E114" s="24" t="n"/>
      <c r="F114" s="24" t="n"/>
      <c r="G114" s="25" t="inlineStr">
        <is>
          <t>Not applied</t>
        </is>
      </c>
      <c r="H114" s="24" t="n"/>
      <c r="I114" s="69" t="n"/>
      <c r="J114" s="24" t="n"/>
    </row>
    <row r="115">
      <c r="A115" s="69" t="n"/>
      <c r="B115" s="24" t="n"/>
      <c r="C115" s="24" t="n"/>
      <c r="D115" s="24" t="n"/>
      <c r="E115" s="24" t="n"/>
      <c r="F115" s="24" t="n"/>
      <c r="G115" s="25" t="inlineStr">
        <is>
          <t>Not applied</t>
        </is>
      </c>
      <c r="H115" s="24" t="n"/>
      <c r="I115" s="69" t="n"/>
      <c r="J115" s="24" t="n"/>
    </row>
    <row r="116">
      <c r="A116" s="69" t="n"/>
      <c r="B116" s="24" t="n"/>
      <c r="C116" s="24" t="n"/>
      <c r="D116" s="24" t="n"/>
      <c r="E116" s="24" t="n"/>
      <c r="F116" s="24" t="n"/>
      <c r="G116" s="25" t="inlineStr">
        <is>
          <t>Not applied</t>
        </is>
      </c>
      <c r="H116" s="24" t="n"/>
      <c r="I116" s="69" t="n"/>
      <c r="J116" s="24" t="n"/>
    </row>
    <row r="117">
      <c r="A117" s="69" t="n"/>
      <c r="B117" s="24" t="n"/>
      <c r="C117" s="24" t="n"/>
      <c r="D117" s="24" t="n"/>
      <c r="E117" s="24" t="n"/>
      <c r="F117" s="24" t="n"/>
      <c r="G117" s="25" t="inlineStr">
        <is>
          <t>Not applied</t>
        </is>
      </c>
      <c r="H117" s="24" t="n"/>
      <c r="I117" s="69" t="n"/>
      <c r="J117" s="24" t="n"/>
    </row>
    <row r="118">
      <c r="A118" s="69" t="n"/>
      <c r="B118" s="24" t="n"/>
      <c r="C118" s="24" t="n"/>
      <c r="D118" s="24" t="n"/>
      <c r="E118" s="24" t="n"/>
      <c r="F118" s="24" t="n"/>
      <c r="G118" s="25" t="inlineStr">
        <is>
          <t>Not applied</t>
        </is>
      </c>
      <c r="H118" s="24" t="n"/>
      <c r="I118" s="69" t="n"/>
      <c r="J118" s="24" t="n"/>
    </row>
    <row r="119">
      <c r="A119" s="69" t="n"/>
      <c r="B119" s="24" t="n"/>
      <c r="C119" s="24" t="n"/>
      <c r="D119" s="24" t="n"/>
      <c r="E119" s="24" t="n"/>
      <c r="F119" s="24" t="n"/>
      <c r="G119" s="25" t="inlineStr">
        <is>
          <t>Not applied</t>
        </is>
      </c>
      <c r="H119" s="24" t="n"/>
      <c r="I119" s="69" t="n"/>
      <c r="J119" s="24" t="n"/>
    </row>
    <row r="120">
      <c r="A120" s="69" t="n"/>
      <c r="B120" s="24" t="n"/>
      <c r="C120" s="24" t="n"/>
      <c r="D120" s="24" t="n"/>
      <c r="E120" s="24" t="n"/>
      <c r="F120" s="24" t="n"/>
      <c r="G120" s="25" t="inlineStr">
        <is>
          <t>Not applied</t>
        </is>
      </c>
      <c r="H120" s="24" t="n"/>
      <c r="I120" s="69" t="n"/>
      <c r="J120" s="24" t="n"/>
    </row>
    <row r="121">
      <c r="A121" s="69" t="n"/>
      <c r="B121" s="24" t="n"/>
      <c r="C121" s="24" t="n"/>
      <c r="D121" s="24" t="n"/>
      <c r="E121" s="24" t="n"/>
      <c r="F121" s="24" t="n"/>
      <c r="G121" s="25" t="inlineStr">
        <is>
          <t>Not applied</t>
        </is>
      </c>
      <c r="H121" s="24" t="n"/>
      <c r="I121" s="69" t="n"/>
      <c r="J121" s="24" t="n"/>
    </row>
    <row r="122">
      <c r="A122" s="69" t="n"/>
      <c r="B122" s="24" t="n"/>
      <c r="C122" s="24" t="n"/>
      <c r="D122" s="24" t="n"/>
      <c r="E122" s="24" t="n"/>
      <c r="F122" s="24" t="n"/>
      <c r="G122" s="25" t="inlineStr">
        <is>
          <t>Not applied</t>
        </is>
      </c>
      <c r="H122" s="24" t="n"/>
      <c r="I122" s="69" t="n"/>
      <c r="J122" s="24" t="n"/>
    </row>
    <row r="123">
      <c r="A123" s="69" t="n"/>
      <c r="B123" s="24" t="n"/>
      <c r="C123" s="24" t="n"/>
      <c r="D123" s="24" t="n"/>
      <c r="E123" s="24" t="n"/>
      <c r="F123" s="24" t="n"/>
      <c r="G123" s="25" t="inlineStr">
        <is>
          <t>Not applied</t>
        </is>
      </c>
      <c r="H123" s="24" t="n"/>
      <c r="I123" s="69" t="n"/>
      <c r="J123" s="24" t="n"/>
    </row>
    <row r="124">
      <c r="A124" s="69" t="n"/>
      <c r="B124" s="24" t="n"/>
      <c r="C124" s="24" t="n"/>
      <c r="D124" s="24" t="n"/>
      <c r="E124" s="24" t="n"/>
      <c r="F124" s="24" t="n"/>
      <c r="G124" s="25" t="inlineStr">
        <is>
          <t>Not applied</t>
        </is>
      </c>
      <c r="H124" s="24" t="n"/>
      <c r="I124" s="69" t="n"/>
      <c r="J124" s="24" t="n"/>
    </row>
    <row r="125">
      <c r="A125" s="69" t="n"/>
      <c r="B125" s="24" t="n"/>
      <c r="C125" s="24" t="n"/>
      <c r="D125" s="24" t="n"/>
      <c r="E125" s="24" t="n"/>
      <c r="F125" s="24" t="n"/>
      <c r="G125" s="25" t="inlineStr">
        <is>
          <t>Not applied</t>
        </is>
      </c>
      <c r="H125" s="24" t="n"/>
      <c r="I125" s="69" t="n"/>
      <c r="J125" s="24" t="n"/>
    </row>
    <row r="126">
      <c r="A126" s="69" t="n"/>
      <c r="B126" s="24" t="n"/>
      <c r="C126" s="24" t="n"/>
      <c r="D126" s="24" t="n"/>
      <c r="E126" s="24" t="n"/>
      <c r="F126" s="24" t="n"/>
      <c r="G126" s="25" t="inlineStr">
        <is>
          <t>Not applied</t>
        </is>
      </c>
      <c r="H126" s="24" t="n"/>
      <c r="I126" s="69" t="n"/>
      <c r="J126" s="24" t="n"/>
    </row>
    <row r="127">
      <c r="A127" s="69" t="n"/>
      <c r="B127" s="24" t="n"/>
      <c r="C127" s="24" t="n"/>
      <c r="D127" s="24" t="n"/>
      <c r="E127" s="24" t="n"/>
      <c r="F127" s="24" t="n"/>
      <c r="G127" s="25" t="inlineStr">
        <is>
          <t>Not applied</t>
        </is>
      </c>
      <c r="H127" s="24" t="n"/>
      <c r="I127" s="69" t="n"/>
      <c r="J127" s="24" t="n"/>
    </row>
    <row r="128">
      <c r="A128" s="69" t="n"/>
      <c r="B128" s="24" t="n"/>
      <c r="C128" s="24" t="n"/>
      <c r="D128" s="24" t="n"/>
      <c r="E128" s="24" t="n"/>
      <c r="F128" s="24" t="n"/>
      <c r="G128" s="25" t="inlineStr">
        <is>
          <t>Not applied</t>
        </is>
      </c>
      <c r="H128" s="24" t="n"/>
      <c r="I128" s="69" t="n"/>
      <c r="J128" s="24" t="n"/>
    </row>
    <row r="129">
      <c r="A129" s="69" t="n"/>
      <c r="B129" s="24" t="n"/>
      <c r="C129" s="24" t="n"/>
      <c r="D129" s="24" t="n"/>
      <c r="E129" s="24" t="n"/>
      <c r="F129" s="24" t="n"/>
      <c r="G129" s="25" t="inlineStr">
        <is>
          <t>Not applied</t>
        </is>
      </c>
      <c r="H129" s="24" t="n"/>
      <c r="I129" s="69" t="n"/>
      <c r="J129" s="24" t="n"/>
    </row>
    <row r="130">
      <c r="A130" s="69" t="n"/>
      <c r="B130" s="24" t="n"/>
      <c r="C130" s="24" t="n"/>
      <c r="D130" s="24" t="n"/>
      <c r="E130" s="24" t="n"/>
      <c r="F130" s="24" t="n"/>
      <c r="G130" s="25" t="inlineStr">
        <is>
          <t>Not applied</t>
        </is>
      </c>
      <c r="H130" s="24" t="n"/>
      <c r="I130" s="69" t="n"/>
      <c r="J130" s="24" t="n"/>
    </row>
    <row r="131">
      <c r="A131" s="69" t="n"/>
      <c r="B131" s="24" t="n"/>
      <c r="C131" s="24" t="n"/>
      <c r="D131" s="24" t="n"/>
      <c r="E131" s="24" t="n"/>
      <c r="F131" s="24" t="n"/>
      <c r="G131" s="25" t="inlineStr">
        <is>
          <t>Not applied</t>
        </is>
      </c>
      <c r="H131" s="24" t="n"/>
      <c r="I131" s="69" t="n"/>
      <c r="J131" s="24" t="n"/>
    </row>
    <row r="132">
      <c r="A132" s="69" t="n"/>
      <c r="B132" s="24" t="n"/>
      <c r="C132" s="24" t="n"/>
      <c r="D132" s="24" t="n"/>
      <c r="E132" s="24" t="n"/>
      <c r="F132" s="24" t="n"/>
      <c r="G132" s="25" t="inlineStr">
        <is>
          <t>Not applied</t>
        </is>
      </c>
      <c r="H132" s="24" t="n"/>
      <c r="I132" s="69" t="n"/>
      <c r="J132" s="24" t="n"/>
    </row>
    <row r="133">
      <c r="A133" s="69" t="n"/>
      <c r="B133" s="24" t="n"/>
      <c r="C133" s="24" t="n"/>
      <c r="D133" s="24" t="n"/>
      <c r="E133" s="24" t="n"/>
      <c r="F133" s="24" t="n"/>
      <c r="G133" s="25" t="inlineStr">
        <is>
          <t>Not applied</t>
        </is>
      </c>
      <c r="H133" s="24" t="n"/>
      <c r="I133" s="69" t="n"/>
      <c r="J133" s="24" t="n"/>
    </row>
    <row r="134">
      <c r="A134" s="69" t="n"/>
      <c r="B134" s="24" t="n"/>
      <c r="C134" s="24" t="n"/>
      <c r="D134" s="24" t="n"/>
      <c r="E134" s="24" t="n"/>
      <c r="F134" s="24" t="n"/>
      <c r="G134" s="25" t="inlineStr">
        <is>
          <t>Not applied</t>
        </is>
      </c>
      <c r="H134" s="24" t="n"/>
      <c r="I134" s="69" t="n"/>
      <c r="J134" s="24" t="n"/>
    </row>
    <row r="135">
      <c r="A135" s="69" t="n"/>
      <c r="B135" s="24" t="n"/>
      <c r="C135" s="24" t="n"/>
      <c r="D135" s="24" t="n"/>
      <c r="E135" s="24" t="n"/>
      <c r="F135" s="24" t="n"/>
      <c r="G135" s="25" t="inlineStr">
        <is>
          <t>Not applied</t>
        </is>
      </c>
      <c r="H135" s="24" t="n"/>
      <c r="I135" s="69" t="n"/>
      <c r="J135" s="24" t="n"/>
    </row>
    <row r="136">
      <c r="A136" s="69" t="n"/>
      <c r="B136" s="24" t="n"/>
      <c r="C136" s="24" t="n"/>
      <c r="D136" s="24" t="n"/>
      <c r="E136" s="24" t="n"/>
      <c r="F136" s="24" t="n"/>
      <c r="G136" s="25" t="inlineStr">
        <is>
          <t>Not applied</t>
        </is>
      </c>
      <c r="H136" s="24" t="n"/>
      <c r="I136" s="69" t="n"/>
      <c r="J136" s="24" t="n"/>
    </row>
    <row r="137">
      <c r="A137" s="69" t="n"/>
      <c r="B137" s="24" t="n"/>
      <c r="C137" s="24" t="n"/>
      <c r="D137" s="24" t="n"/>
      <c r="E137" s="24" t="n"/>
      <c r="F137" s="24" t="n"/>
      <c r="G137" s="25" t="inlineStr">
        <is>
          <t>Not applied</t>
        </is>
      </c>
      <c r="H137" s="24" t="n"/>
      <c r="I137" s="69" t="n"/>
      <c r="J137" s="24" t="n"/>
    </row>
    <row r="138">
      <c r="A138" s="69" t="n"/>
      <c r="B138" s="24" t="n"/>
      <c r="C138" s="24" t="n"/>
      <c r="D138" s="24" t="n"/>
      <c r="E138" s="24" t="n"/>
      <c r="F138" s="24" t="n"/>
      <c r="G138" s="25" t="inlineStr">
        <is>
          <t>Not applied</t>
        </is>
      </c>
      <c r="H138" s="24" t="n"/>
      <c r="I138" s="69" t="n"/>
      <c r="J138" s="24" t="n"/>
    </row>
    <row r="139">
      <c r="A139" s="69" t="n"/>
      <c r="B139" s="24" t="n"/>
      <c r="C139" s="24" t="n"/>
      <c r="D139" s="24" t="n"/>
      <c r="E139" s="24" t="n"/>
      <c r="F139" s="24" t="n"/>
      <c r="G139" s="25" t="inlineStr">
        <is>
          <t>Not applied</t>
        </is>
      </c>
      <c r="H139" s="24" t="n"/>
      <c r="I139" s="69" t="n"/>
      <c r="J139" s="24" t="n"/>
    </row>
    <row r="140">
      <c r="A140" s="69" t="n"/>
      <c r="B140" s="24" t="n"/>
      <c r="C140" s="24" t="n"/>
      <c r="D140" s="24" t="n"/>
      <c r="E140" s="24" t="n"/>
      <c r="F140" s="24" t="n"/>
      <c r="G140" s="25" t="inlineStr">
        <is>
          <t>Not applied</t>
        </is>
      </c>
      <c r="H140" s="24" t="n"/>
      <c r="I140" s="69" t="n"/>
      <c r="J140" s="24" t="n"/>
    </row>
    <row r="141">
      <c r="A141" s="69" t="n"/>
      <c r="B141" s="24" t="n"/>
      <c r="C141" s="24" t="n"/>
      <c r="D141" s="24" t="n"/>
      <c r="E141" s="24" t="n"/>
      <c r="F141" s="24" t="n"/>
      <c r="G141" s="25" t="inlineStr">
        <is>
          <t>Not applied</t>
        </is>
      </c>
      <c r="H141" s="24" t="n"/>
      <c r="I141" s="69" t="n"/>
      <c r="J141" s="24" t="n"/>
    </row>
    <row r="142">
      <c r="A142" s="69" t="n"/>
      <c r="B142" s="24" t="n"/>
      <c r="C142" s="24" t="n"/>
      <c r="D142" s="24" t="n"/>
      <c r="E142" s="24" t="n"/>
      <c r="F142" s="24" t="n"/>
      <c r="G142" s="25" t="inlineStr">
        <is>
          <t>Not applied</t>
        </is>
      </c>
      <c r="H142" s="24" t="n"/>
      <c r="I142" s="69" t="n"/>
      <c r="J142" s="24" t="n"/>
    </row>
    <row r="143">
      <c r="A143" s="69" t="n"/>
      <c r="B143" s="24" t="n"/>
      <c r="C143" s="24" t="n"/>
      <c r="D143" s="24" t="n"/>
      <c r="E143" s="24" t="n"/>
      <c r="F143" s="24" t="n"/>
      <c r="G143" s="25" t="inlineStr">
        <is>
          <t>Not applied</t>
        </is>
      </c>
      <c r="H143" s="24" t="n"/>
      <c r="I143" s="69" t="n"/>
      <c r="J143" s="24" t="n"/>
    </row>
    <row r="144">
      <c r="A144" s="69" t="n"/>
      <c r="B144" s="24" t="n"/>
      <c r="C144" s="24" t="n"/>
      <c r="D144" s="24" t="n"/>
      <c r="E144" s="24" t="n"/>
      <c r="F144" s="24" t="n"/>
      <c r="G144" s="25" t="inlineStr">
        <is>
          <t>Not applied</t>
        </is>
      </c>
      <c r="H144" s="24" t="n"/>
      <c r="I144" s="69" t="n"/>
      <c r="J144" s="24" t="n"/>
    </row>
    <row r="145">
      <c r="A145" s="69" t="n"/>
      <c r="B145" s="24" t="n"/>
      <c r="C145" s="24" t="n"/>
      <c r="D145" s="24" t="n"/>
      <c r="E145" s="24" t="n"/>
      <c r="F145" s="24" t="n"/>
      <c r="G145" s="25" t="inlineStr">
        <is>
          <t>Not applied</t>
        </is>
      </c>
      <c r="H145" s="24" t="n"/>
      <c r="I145" s="69" t="n"/>
      <c r="J145" s="24" t="n"/>
    </row>
    <row r="146">
      <c r="A146" s="69" t="n"/>
      <c r="B146" s="24" t="n"/>
      <c r="C146" s="24" t="n"/>
      <c r="D146" s="24" t="n"/>
      <c r="E146" s="24" t="n"/>
      <c r="F146" s="24" t="n"/>
      <c r="G146" s="25" t="inlineStr">
        <is>
          <t>Not applied</t>
        </is>
      </c>
      <c r="H146" s="24" t="n"/>
      <c r="I146" s="69" t="n"/>
      <c r="J146" s="24" t="n"/>
    </row>
    <row r="147">
      <c r="A147" s="69" t="n"/>
      <c r="B147" s="24" t="n"/>
      <c r="C147" s="24" t="n"/>
      <c r="D147" s="24" t="n"/>
      <c r="E147" s="24" t="n"/>
      <c r="F147" s="24" t="n"/>
      <c r="G147" s="25" t="inlineStr">
        <is>
          <t>Not applied</t>
        </is>
      </c>
      <c r="H147" s="24" t="n"/>
      <c r="I147" s="69" t="n"/>
      <c r="J147" s="24" t="n"/>
    </row>
    <row r="148">
      <c r="A148" s="69" t="n"/>
      <c r="B148" s="24" t="n"/>
      <c r="C148" s="24" t="n"/>
      <c r="D148" s="24" t="n"/>
      <c r="E148" s="24" t="n"/>
      <c r="F148" s="24" t="n"/>
      <c r="G148" s="25" t="inlineStr">
        <is>
          <t>Not applied</t>
        </is>
      </c>
      <c r="H148" s="24" t="n"/>
      <c r="I148" s="69" t="n"/>
      <c r="J148" s="24" t="n"/>
    </row>
    <row r="149">
      <c r="A149" s="69" t="n"/>
      <c r="B149" s="24" t="n"/>
      <c r="C149" s="24" t="n"/>
      <c r="D149" s="24" t="n"/>
      <c r="E149" s="24" t="n"/>
      <c r="F149" s="24" t="n"/>
      <c r="G149" s="25" t="inlineStr">
        <is>
          <t>Not applied</t>
        </is>
      </c>
      <c r="H149" s="24" t="n"/>
      <c r="I149" s="69" t="n"/>
      <c r="J149" s="24" t="n"/>
    </row>
    <row r="150">
      <c r="A150" s="69" t="n"/>
      <c r="B150" s="24" t="n"/>
      <c r="C150" s="24" t="n"/>
      <c r="D150" s="24" t="n"/>
      <c r="E150" s="24" t="n"/>
      <c r="F150" s="24" t="n"/>
      <c r="G150" s="25" t="inlineStr">
        <is>
          <t>Not applied</t>
        </is>
      </c>
      <c r="H150" s="24" t="n"/>
      <c r="I150" s="69" t="n"/>
      <c r="J150" s="24" t="n"/>
    </row>
    <row r="151">
      <c r="A151" s="69" t="n"/>
      <c r="B151" s="24" t="n"/>
      <c r="C151" s="24" t="n"/>
      <c r="D151" s="24" t="n"/>
      <c r="E151" s="24" t="n"/>
      <c r="F151" s="24" t="n"/>
      <c r="G151" s="25" t="inlineStr">
        <is>
          <t>Not applied</t>
        </is>
      </c>
      <c r="H151" s="24" t="n"/>
      <c r="I151" s="69" t="n"/>
      <c r="J151" s="24" t="n"/>
    </row>
    <row r="152">
      <c r="A152" s="69" t="n"/>
      <c r="B152" s="24" t="n"/>
      <c r="C152" s="24" t="n"/>
      <c r="D152" s="24" t="n"/>
      <c r="E152" s="24" t="n"/>
      <c r="F152" s="24" t="n"/>
      <c r="G152" s="25" t="inlineStr">
        <is>
          <t>Not applied</t>
        </is>
      </c>
      <c r="H152" s="24" t="n"/>
      <c r="I152" s="69" t="n"/>
      <c r="J152" s="24" t="n"/>
    </row>
    <row r="153">
      <c r="A153" s="69" t="n"/>
      <c r="B153" s="24" t="n"/>
      <c r="C153" s="24" t="n"/>
      <c r="D153" s="24" t="n"/>
      <c r="E153" s="24" t="n"/>
      <c r="F153" s="24" t="n"/>
      <c r="G153" s="25" t="inlineStr">
        <is>
          <t>Not applied</t>
        </is>
      </c>
      <c r="H153" s="24" t="n"/>
      <c r="I153" s="69" t="n"/>
      <c r="J153" s="24" t="n"/>
    </row>
    <row r="154">
      <c r="A154" s="69" t="n"/>
      <c r="B154" s="24" t="n"/>
      <c r="C154" s="24" t="n"/>
      <c r="D154" s="24" t="n"/>
      <c r="E154" s="24" t="n"/>
      <c r="F154" s="24" t="n"/>
      <c r="G154" s="25" t="inlineStr">
        <is>
          <t>Not applied</t>
        </is>
      </c>
      <c r="H154" s="24" t="n"/>
      <c r="I154" s="69" t="n"/>
      <c r="J154" s="24" t="n"/>
    </row>
    <row r="155">
      <c r="A155" s="69" t="n"/>
      <c r="B155" s="24" t="n"/>
      <c r="C155" s="24" t="n"/>
      <c r="D155" s="24" t="n"/>
      <c r="E155" s="24" t="n"/>
      <c r="F155" s="24" t="n"/>
      <c r="G155" s="25" t="inlineStr">
        <is>
          <t>Not applied</t>
        </is>
      </c>
      <c r="H155" s="24" t="n"/>
      <c r="I155" s="69" t="n"/>
      <c r="J155" s="24" t="n"/>
    </row>
    <row r="156">
      <c r="A156" s="69" t="n"/>
      <c r="B156" s="24" t="n"/>
      <c r="C156" s="24" t="n"/>
      <c r="D156" s="24" t="n"/>
      <c r="E156" s="24" t="n"/>
      <c r="F156" s="24" t="n"/>
      <c r="G156" s="25" t="inlineStr">
        <is>
          <t>Not applied</t>
        </is>
      </c>
      <c r="H156" s="24" t="n"/>
      <c r="I156" s="69" t="n"/>
      <c r="J156" s="24" t="n"/>
    </row>
    <row r="157">
      <c r="A157" s="69" t="n"/>
      <c r="B157" s="24" t="n"/>
      <c r="C157" s="24" t="n"/>
      <c r="D157" s="24" t="n"/>
      <c r="E157" s="24" t="n"/>
      <c r="F157" s="24" t="n"/>
      <c r="G157" s="25" t="inlineStr">
        <is>
          <t>Not applied</t>
        </is>
      </c>
      <c r="H157" s="24" t="n"/>
      <c r="I157" s="69" t="n"/>
      <c r="J157" s="24" t="n"/>
    </row>
    <row r="158">
      <c r="A158" s="69" t="n"/>
      <c r="B158" s="24" t="n"/>
      <c r="C158" s="24" t="n"/>
      <c r="D158" s="24" t="n"/>
      <c r="E158" s="24" t="n"/>
      <c r="F158" s="24" t="n"/>
      <c r="G158" s="25" t="inlineStr">
        <is>
          <t>Not applied</t>
        </is>
      </c>
      <c r="H158" s="24" t="n"/>
      <c r="I158" s="69" t="n"/>
      <c r="J158" s="24" t="n"/>
    </row>
    <row r="159">
      <c r="A159" s="69" t="n"/>
      <c r="B159" s="24" t="n"/>
      <c r="C159" s="24" t="n"/>
      <c r="D159" s="24" t="n"/>
      <c r="E159" s="24" t="n"/>
      <c r="F159" s="24" t="n"/>
      <c r="G159" s="25" t="inlineStr">
        <is>
          <t>Not applied</t>
        </is>
      </c>
      <c r="H159" s="24" t="n"/>
      <c r="I159" s="69" t="n"/>
      <c r="J159" s="24" t="n"/>
    </row>
    <row r="160">
      <c r="A160" s="69" t="n"/>
      <c r="B160" s="24" t="n"/>
      <c r="C160" s="24" t="n"/>
      <c r="D160" s="24" t="n"/>
      <c r="E160" s="24" t="n"/>
      <c r="F160" s="24" t="n"/>
      <c r="G160" s="25" t="inlineStr">
        <is>
          <t>Not applied</t>
        </is>
      </c>
      <c r="H160" s="24" t="n"/>
      <c r="I160" s="69" t="n"/>
      <c r="J160" s="24" t="n"/>
    </row>
    <row r="161">
      <c r="A161" s="69" t="n"/>
      <c r="B161" s="24" t="n"/>
      <c r="C161" s="24" t="n"/>
      <c r="D161" s="24" t="n"/>
      <c r="E161" s="24" t="n"/>
      <c r="F161" s="24" t="n"/>
      <c r="G161" s="25" t="inlineStr">
        <is>
          <t>Not applied</t>
        </is>
      </c>
      <c r="H161" s="24" t="n"/>
      <c r="I161" s="69" t="n"/>
      <c r="J161" s="24" t="n"/>
    </row>
    <row r="162">
      <c r="A162" s="69" t="n"/>
      <c r="B162" s="24" t="n"/>
      <c r="C162" s="24" t="n"/>
      <c r="D162" s="24" t="n"/>
      <c r="E162" s="24" t="n"/>
      <c r="F162" s="24" t="n"/>
      <c r="G162" s="25" t="inlineStr">
        <is>
          <t>Not applied</t>
        </is>
      </c>
      <c r="H162" s="24" t="n"/>
      <c r="I162" s="69" t="n"/>
      <c r="J162" s="24" t="n"/>
    </row>
    <row r="163">
      <c r="A163" s="69" t="n"/>
      <c r="B163" s="24" t="n"/>
      <c r="C163" s="24" t="n"/>
      <c r="D163" s="24" t="n"/>
      <c r="E163" s="24" t="n"/>
      <c r="F163" s="24" t="n"/>
      <c r="G163" s="25" t="inlineStr">
        <is>
          <t>Not applied</t>
        </is>
      </c>
      <c r="H163" s="24" t="n"/>
      <c r="I163" s="69" t="n"/>
      <c r="J163" s="24" t="n"/>
    </row>
    <row r="164">
      <c r="A164" s="69" t="n"/>
      <c r="B164" s="24" t="n"/>
      <c r="C164" s="24" t="n"/>
      <c r="D164" s="24" t="n"/>
      <c r="E164" s="24" t="n"/>
      <c r="F164" s="24" t="n"/>
      <c r="G164" s="25" t="inlineStr">
        <is>
          <t>Not applied</t>
        </is>
      </c>
      <c r="H164" s="24" t="n"/>
      <c r="I164" s="69" t="n"/>
      <c r="J164" s="24" t="n"/>
    </row>
    <row r="165">
      <c r="A165" s="69" t="n"/>
      <c r="B165" s="24" t="n"/>
      <c r="C165" s="24" t="n"/>
      <c r="D165" s="24" t="n"/>
      <c r="E165" s="24" t="n"/>
      <c r="F165" s="24" t="n"/>
      <c r="G165" s="25" t="inlineStr">
        <is>
          <t>Not applied</t>
        </is>
      </c>
      <c r="H165" s="24" t="n"/>
      <c r="I165" s="69" t="n"/>
      <c r="J165" s="24" t="n"/>
    </row>
    <row r="166">
      <c r="A166" s="69" t="n"/>
      <c r="B166" s="24" t="n"/>
      <c r="C166" s="24" t="n"/>
      <c r="D166" s="24" t="n"/>
      <c r="E166" s="24" t="n"/>
      <c r="F166" s="24" t="n"/>
      <c r="G166" s="25" t="inlineStr">
        <is>
          <t>Not applied</t>
        </is>
      </c>
      <c r="H166" s="24" t="n"/>
      <c r="I166" s="69" t="n"/>
      <c r="J166" s="24" t="n"/>
    </row>
    <row r="167">
      <c r="A167" s="69" t="n"/>
      <c r="B167" s="24" t="n"/>
      <c r="C167" s="24" t="n"/>
      <c r="D167" s="24" t="n"/>
      <c r="E167" s="24" t="n"/>
      <c r="F167" s="24" t="n"/>
      <c r="G167" s="25" t="inlineStr">
        <is>
          <t>Not applied</t>
        </is>
      </c>
      <c r="H167" s="24" t="n"/>
      <c r="I167" s="69" t="n"/>
      <c r="J167" s="24" t="n"/>
    </row>
    <row r="168">
      <c r="A168" s="69" t="n"/>
      <c r="B168" s="24" t="n"/>
      <c r="C168" s="24" t="n"/>
      <c r="D168" s="24" t="n"/>
      <c r="E168" s="24" t="n"/>
      <c r="F168" s="24" t="n"/>
      <c r="G168" s="25" t="inlineStr">
        <is>
          <t>Not applied</t>
        </is>
      </c>
      <c r="H168" s="24" t="n"/>
      <c r="I168" s="69" t="n"/>
      <c r="J168" s="24" t="n"/>
    </row>
    <row r="169">
      <c r="A169" s="69" t="n"/>
      <c r="B169" s="24" t="n"/>
      <c r="C169" s="24" t="n"/>
      <c r="D169" s="24" t="n"/>
      <c r="E169" s="24" t="n"/>
      <c r="F169" s="24" t="n"/>
      <c r="G169" s="25" t="inlineStr">
        <is>
          <t>Not applied</t>
        </is>
      </c>
      <c r="H169" s="24" t="n"/>
      <c r="I169" s="69" t="n"/>
      <c r="J169" s="24" t="n"/>
    </row>
    <row r="170">
      <c r="A170" s="69" t="n"/>
      <c r="B170" s="24" t="n"/>
      <c r="C170" s="24" t="n"/>
      <c r="D170" s="24" t="n"/>
      <c r="E170" s="24" t="n"/>
      <c r="F170" s="24" t="n"/>
      <c r="G170" s="25" t="inlineStr">
        <is>
          <t>Not applied</t>
        </is>
      </c>
      <c r="H170" s="24" t="n"/>
      <c r="I170" s="69" t="n"/>
      <c r="J170" s="24" t="n"/>
    </row>
    <row r="171">
      <c r="A171" s="69" t="n"/>
      <c r="B171" s="24" t="n"/>
      <c r="C171" s="24" t="n"/>
      <c r="D171" s="24" t="n"/>
      <c r="E171" s="24" t="n"/>
      <c r="F171" s="24" t="n"/>
      <c r="G171" s="25" t="inlineStr">
        <is>
          <t>Not applied</t>
        </is>
      </c>
      <c r="H171" s="24" t="n"/>
      <c r="I171" s="69" t="n"/>
      <c r="J171" s="24" t="n"/>
    </row>
    <row r="172">
      <c r="A172" s="69" t="n"/>
      <c r="B172" s="24" t="n"/>
      <c r="C172" s="24" t="n"/>
      <c r="D172" s="24" t="n"/>
      <c r="E172" s="24" t="n"/>
      <c r="F172" s="24" t="n"/>
      <c r="G172" s="25" t="inlineStr">
        <is>
          <t>Not applied</t>
        </is>
      </c>
      <c r="H172" s="24" t="n"/>
      <c r="I172" s="69" t="n"/>
      <c r="J172" s="24" t="n"/>
    </row>
    <row r="173">
      <c r="A173" s="69" t="n"/>
      <c r="B173" s="24" t="n"/>
      <c r="C173" s="24" t="n"/>
      <c r="D173" s="24" t="n"/>
      <c r="E173" s="24" t="n"/>
      <c r="F173" s="24" t="n"/>
      <c r="G173" s="25" t="inlineStr">
        <is>
          <t>Not applied</t>
        </is>
      </c>
      <c r="H173" s="24" t="n"/>
      <c r="I173" s="69" t="n"/>
      <c r="J173" s="24" t="n"/>
    </row>
    <row r="174">
      <c r="A174" s="69" t="n"/>
      <c r="B174" s="24" t="n"/>
      <c r="C174" s="24" t="n"/>
      <c r="D174" s="24" t="n"/>
      <c r="E174" s="24" t="n"/>
      <c r="F174" s="24" t="n"/>
      <c r="G174" s="25" t="inlineStr">
        <is>
          <t>Not applied</t>
        </is>
      </c>
      <c r="H174" s="24" t="n"/>
      <c r="I174" s="69" t="n"/>
      <c r="J174" s="24" t="n"/>
    </row>
    <row r="175">
      <c r="A175" s="69" t="n"/>
      <c r="B175" s="24" t="n"/>
      <c r="C175" s="24" t="n"/>
      <c r="D175" s="24" t="n"/>
      <c r="E175" s="24" t="n"/>
      <c r="F175" s="24" t="n"/>
      <c r="G175" s="25" t="inlineStr">
        <is>
          <t>Not applied</t>
        </is>
      </c>
      <c r="H175" s="24" t="n"/>
      <c r="I175" s="69" t="n"/>
      <c r="J175" s="24" t="n"/>
    </row>
    <row r="176">
      <c r="A176" s="69" t="n"/>
      <c r="B176" s="24" t="n"/>
      <c r="C176" s="24" t="n"/>
      <c r="D176" s="24" t="n"/>
      <c r="E176" s="24" t="n"/>
      <c r="F176" s="24" t="n"/>
      <c r="G176" s="25" t="inlineStr">
        <is>
          <t>Not applied</t>
        </is>
      </c>
      <c r="H176" s="24" t="n"/>
      <c r="I176" s="69" t="n"/>
      <c r="J176" s="24" t="n"/>
    </row>
    <row r="177">
      <c r="A177" s="69" t="n"/>
      <c r="B177" s="24" t="n"/>
      <c r="C177" s="24" t="n"/>
      <c r="D177" s="24" t="n"/>
      <c r="E177" s="24" t="n"/>
      <c r="F177" s="24" t="n"/>
      <c r="G177" s="25" t="inlineStr">
        <is>
          <t>Not applied</t>
        </is>
      </c>
      <c r="H177" s="24" t="n"/>
      <c r="I177" s="69" t="n"/>
      <c r="J177" s="24" t="n"/>
    </row>
    <row r="178">
      <c r="A178" s="69" t="n"/>
      <c r="B178" s="24" t="n"/>
      <c r="C178" s="24" t="n"/>
      <c r="D178" s="24" t="n"/>
      <c r="E178" s="24" t="n"/>
      <c r="F178" s="24" t="n"/>
      <c r="G178" s="25" t="inlineStr">
        <is>
          <t>Not applied</t>
        </is>
      </c>
      <c r="H178" s="24" t="n"/>
      <c r="I178" s="69" t="n"/>
      <c r="J178" s="24" t="n"/>
    </row>
    <row r="179">
      <c r="A179" s="69" t="n"/>
      <c r="B179" s="24" t="n"/>
      <c r="C179" s="24" t="n"/>
      <c r="D179" s="24" t="n"/>
      <c r="E179" s="24" t="n"/>
      <c r="F179" s="24" t="n"/>
      <c r="G179" s="25" t="inlineStr">
        <is>
          <t>Not applied</t>
        </is>
      </c>
      <c r="H179" s="24" t="n"/>
      <c r="I179" s="69" t="n"/>
      <c r="J179" s="24" t="n"/>
    </row>
    <row r="180">
      <c r="A180" s="69" t="n"/>
      <c r="B180" s="24" t="n"/>
      <c r="C180" s="24" t="n"/>
      <c r="D180" s="24" t="n"/>
      <c r="E180" s="24" t="n"/>
      <c r="F180" s="24" t="n"/>
      <c r="G180" s="25" t="inlineStr">
        <is>
          <t>Not applied</t>
        </is>
      </c>
      <c r="H180" s="24" t="n"/>
      <c r="I180" s="69" t="n"/>
      <c r="J180" s="24" t="n"/>
    </row>
    <row r="181">
      <c r="A181" s="69" t="n"/>
      <c r="B181" s="24" t="n"/>
      <c r="C181" s="24" t="n"/>
      <c r="D181" s="24" t="n"/>
      <c r="E181" s="24" t="n"/>
      <c r="F181" s="24" t="n"/>
      <c r="G181" s="25" t="inlineStr">
        <is>
          <t>Not applied</t>
        </is>
      </c>
      <c r="H181" s="24" t="n"/>
      <c r="I181" s="69" t="n"/>
      <c r="J181" s="24" t="n"/>
    </row>
    <row r="182">
      <c r="A182" s="69" t="n"/>
      <c r="B182" s="24" t="n"/>
      <c r="C182" s="24" t="n"/>
      <c r="D182" s="24" t="n"/>
      <c r="E182" s="24" t="n"/>
      <c r="F182" s="24" t="n"/>
      <c r="G182" s="25" t="inlineStr">
        <is>
          <t>Not applied</t>
        </is>
      </c>
      <c r="H182" s="24" t="n"/>
      <c r="I182" s="69" t="n"/>
      <c r="J182" s="24" t="n"/>
    </row>
    <row r="183">
      <c r="A183" s="69" t="n"/>
      <c r="B183" s="24" t="n"/>
      <c r="C183" s="24" t="n"/>
      <c r="D183" s="24" t="n"/>
      <c r="E183" s="24" t="n"/>
      <c r="F183" s="24" t="n"/>
      <c r="G183" s="25" t="inlineStr">
        <is>
          <t>Not applied</t>
        </is>
      </c>
      <c r="H183" s="24" t="n"/>
      <c r="I183" s="69" t="n"/>
      <c r="J183" s="24" t="n"/>
    </row>
    <row r="184">
      <c r="A184" s="69" t="n"/>
      <c r="B184" s="24" t="n"/>
      <c r="C184" s="24" t="n"/>
      <c r="D184" s="24" t="n"/>
      <c r="E184" s="24" t="n"/>
      <c r="F184" s="24" t="n"/>
      <c r="G184" s="25" t="inlineStr">
        <is>
          <t>Not applied</t>
        </is>
      </c>
      <c r="H184" s="24" t="n"/>
      <c r="I184" s="69" t="n"/>
      <c r="J184" s="24" t="n"/>
    </row>
    <row r="185">
      <c r="A185" s="69" t="n"/>
      <c r="B185" s="24" t="n"/>
      <c r="C185" s="24" t="n"/>
      <c r="D185" s="24" t="n"/>
      <c r="E185" s="24" t="n"/>
      <c r="F185" s="24" t="n"/>
      <c r="G185" s="25" t="inlineStr">
        <is>
          <t>Not applied</t>
        </is>
      </c>
      <c r="H185" s="24" t="n"/>
      <c r="I185" s="69" t="n"/>
      <c r="J185" s="24" t="n"/>
    </row>
    <row r="186">
      <c r="A186" s="69" t="n"/>
      <c r="B186" s="24" t="n"/>
      <c r="C186" s="24" t="n"/>
      <c r="D186" s="24" t="n"/>
      <c r="E186" s="24" t="n"/>
      <c r="F186" s="24" t="n"/>
      <c r="G186" s="25" t="inlineStr">
        <is>
          <t>Not applied</t>
        </is>
      </c>
      <c r="H186" s="24" t="n"/>
      <c r="I186" s="69" t="n"/>
      <c r="J186" s="24" t="n"/>
    </row>
    <row r="187">
      <c r="A187" s="69" t="n"/>
      <c r="B187" s="24" t="n"/>
      <c r="C187" s="24" t="n"/>
      <c r="D187" s="24" t="n"/>
      <c r="E187" s="24" t="n"/>
      <c r="F187" s="24" t="n"/>
      <c r="G187" s="25" t="inlineStr">
        <is>
          <t>Not applied</t>
        </is>
      </c>
      <c r="H187" s="24" t="n"/>
      <c r="I187" s="69" t="n"/>
      <c r="J187" s="24" t="n"/>
    </row>
    <row r="188">
      <c r="A188" s="69" t="n"/>
      <c r="B188" s="24" t="n"/>
      <c r="C188" s="24" t="n"/>
      <c r="D188" s="24" t="n"/>
      <c r="E188" s="24" t="n"/>
      <c r="F188" s="24" t="n"/>
      <c r="G188" s="25" t="inlineStr">
        <is>
          <t>Not applied</t>
        </is>
      </c>
      <c r="H188" s="24" t="n"/>
      <c r="I188" s="69" t="n"/>
      <c r="J188" s="24" t="n"/>
    </row>
    <row r="189">
      <c r="A189" s="69" t="n"/>
      <c r="B189" s="24" t="n"/>
      <c r="C189" s="24" t="n"/>
      <c r="D189" s="24" t="n"/>
      <c r="E189" s="24" t="n"/>
      <c r="F189" s="24" t="n"/>
      <c r="G189" s="25" t="inlineStr">
        <is>
          <t>Not applied</t>
        </is>
      </c>
      <c r="H189" s="24" t="n"/>
      <c r="I189" s="69" t="n"/>
      <c r="J189" s="24" t="n"/>
    </row>
    <row r="190">
      <c r="A190" s="69" t="n"/>
      <c r="B190" s="24" t="n"/>
      <c r="C190" s="24" t="n"/>
      <c r="D190" s="24" t="n"/>
      <c r="E190" s="24" t="n"/>
      <c r="F190" s="24" t="n"/>
      <c r="G190" s="25" t="inlineStr">
        <is>
          <t>Not applied</t>
        </is>
      </c>
      <c r="H190" s="24" t="n"/>
      <c r="I190" s="69" t="n"/>
      <c r="J190" s="24" t="n"/>
    </row>
    <row r="191">
      <c r="A191" s="69" t="n"/>
      <c r="B191" s="24" t="n"/>
      <c r="C191" s="24" t="n"/>
      <c r="D191" s="24" t="n"/>
      <c r="E191" s="24" t="n"/>
      <c r="F191" s="24" t="n"/>
      <c r="G191" s="25" t="inlineStr">
        <is>
          <t>Not applied</t>
        </is>
      </c>
      <c r="H191" s="24" t="n"/>
      <c r="I191" s="69" t="n"/>
      <c r="J191" s="24" t="n"/>
    </row>
    <row r="192">
      <c r="A192" s="69" t="n"/>
      <c r="B192" s="24" t="n"/>
      <c r="C192" s="24" t="n"/>
      <c r="D192" s="24" t="n"/>
      <c r="E192" s="24" t="n"/>
      <c r="F192" s="24" t="n"/>
      <c r="G192" s="25" t="inlineStr">
        <is>
          <t>Not applied</t>
        </is>
      </c>
      <c r="H192" s="24" t="n"/>
      <c r="I192" s="69" t="n"/>
      <c r="J192" s="24" t="n"/>
    </row>
    <row r="193">
      <c r="A193" s="69" t="n"/>
      <c r="B193" s="24" t="n"/>
      <c r="C193" s="24" t="n"/>
      <c r="D193" s="24" t="n"/>
      <c r="E193" s="24" t="n"/>
      <c r="F193" s="24" t="n"/>
      <c r="G193" s="25" t="inlineStr">
        <is>
          <t>Not applied</t>
        </is>
      </c>
      <c r="H193" s="24" t="n"/>
      <c r="I193" s="69" t="n"/>
      <c r="J193" s="24" t="n"/>
    </row>
    <row r="194">
      <c r="A194" s="69" t="n"/>
      <c r="B194" s="24" t="n"/>
      <c r="C194" s="24" t="n"/>
      <c r="D194" s="24" t="n"/>
      <c r="E194" s="24" t="n"/>
      <c r="F194" s="24" t="n"/>
      <c r="G194" s="25" t="inlineStr">
        <is>
          <t>Not applied</t>
        </is>
      </c>
      <c r="H194" s="24" t="n"/>
      <c r="I194" s="69" t="n"/>
      <c r="J194" s="24" t="n"/>
    </row>
    <row r="195">
      <c r="A195" s="69" t="n"/>
      <c r="B195" s="24" t="n"/>
      <c r="C195" s="24" t="n"/>
      <c r="D195" s="24" t="n"/>
      <c r="E195" s="24" t="n"/>
      <c r="F195" s="24" t="n"/>
      <c r="G195" s="25" t="inlineStr">
        <is>
          <t>Not applied</t>
        </is>
      </c>
      <c r="H195" s="24" t="n"/>
      <c r="I195" s="69" t="n"/>
      <c r="J195" s="24" t="n"/>
    </row>
    <row r="196">
      <c r="A196" s="69" t="n"/>
      <c r="B196" s="24" t="n"/>
      <c r="C196" s="24" t="n"/>
      <c r="D196" s="24" t="n"/>
      <c r="E196" s="24" t="n"/>
      <c r="F196" s="24" t="n"/>
      <c r="G196" s="25" t="inlineStr">
        <is>
          <t>Not applied</t>
        </is>
      </c>
      <c r="H196" s="24" t="n"/>
      <c r="I196" s="69" t="n"/>
      <c r="J196" s="24" t="n"/>
    </row>
    <row r="197">
      <c r="A197" s="69" t="n"/>
      <c r="B197" s="24" t="n"/>
      <c r="C197" s="24" t="n"/>
      <c r="D197" s="24" t="n"/>
      <c r="E197" s="24" t="n"/>
      <c r="F197" s="24" t="n"/>
      <c r="G197" s="25" t="inlineStr">
        <is>
          <t>Not applied</t>
        </is>
      </c>
      <c r="H197" s="24" t="n"/>
      <c r="I197" s="69" t="n"/>
      <c r="J197" s="24" t="n"/>
    </row>
    <row r="198">
      <c r="A198" s="69" t="n"/>
      <c r="B198" s="24" t="n"/>
      <c r="C198" s="24" t="n"/>
      <c r="D198" s="24" t="n"/>
      <c r="E198" s="24" t="n"/>
      <c r="F198" s="24" t="n"/>
      <c r="G198" s="25" t="inlineStr">
        <is>
          <t>Not applied</t>
        </is>
      </c>
      <c r="H198" s="24" t="n"/>
      <c r="I198" s="69" t="n"/>
      <c r="J198" s="24" t="n"/>
    </row>
    <row r="199">
      <c r="A199" s="69" t="n"/>
      <c r="B199" s="24" t="n"/>
      <c r="C199" s="24" t="n"/>
      <c r="D199" s="24" t="n"/>
      <c r="E199" s="24" t="n"/>
      <c r="F199" s="24" t="n"/>
      <c r="G199" s="25" t="inlineStr">
        <is>
          <t>Not applied</t>
        </is>
      </c>
      <c r="H199" s="24" t="n"/>
      <c r="I199" s="69" t="n"/>
      <c r="J199" s="24" t="n"/>
    </row>
    <row r="200">
      <c r="A200" s="69" t="n"/>
      <c r="B200" s="24" t="n"/>
      <c r="C200" s="24" t="n"/>
      <c r="D200" s="24" t="n"/>
      <c r="E200" s="24" t="n"/>
      <c r="F200" s="24" t="n"/>
      <c r="G200" s="25" t="inlineStr">
        <is>
          <t>Not applied</t>
        </is>
      </c>
      <c r="H200" s="24" t="n"/>
      <c r="I200" s="69" t="n"/>
      <c r="J200" s="24" t="n"/>
    </row>
    <row r="201">
      <c r="A201" s="69" t="n"/>
      <c r="B201" s="24" t="n"/>
      <c r="C201" s="24" t="n"/>
      <c r="D201" s="24" t="n"/>
      <c r="E201" s="24" t="n"/>
      <c r="F201" s="24" t="n"/>
      <c r="G201" s="25" t="inlineStr">
        <is>
          <t>Not applied</t>
        </is>
      </c>
      <c r="H201" s="24" t="n"/>
      <c r="I201" s="69" t="n"/>
      <c r="J201" s="24" t="n"/>
    </row>
    <row r="202">
      <c r="A202" s="69" t="n"/>
      <c r="B202" s="24" t="n"/>
      <c r="C202" s="24" t="n"/>
      <c r="D202" s="24" t="n"/>
      <c r="E202" s="24" t="n"/>
      <c r="F202" s="24" t="n"/>
      <c r="G202" s="25" t="inlineStr">
        <is>
          <t>Not applied</t>
        </is>
      </c>
      <c r="H202" s="24" t="n"/>
      <c r="I202" s="69" t="n"/>
      <c r="J202" s="24" t="n"/>
    </row>
    <row r="203">
      <c r="A203" s="69" t="n"/>
      <c r="B203" s="24" t="n"/>
      <c r="C203" s="24" t="n"/>
      <c r="D203" s="24" t="n"/>
      <c r="E203" s="24" t="n"/>
      <c r="F203" s="24" t="n"/>
      <c r="G203" s="25" t="inlineStr">
        <is>
          <t>Not applied</t>
        </is>
      </c>
      <c r="H203" s="24" t="n"/>
      <c r="I203" s="69" t="n"/>
      <c r="J203" s="24" t="n"/>
    </row>
  </sheetData>
  <autoFilter ref="A3:J203"/>
  <mergeCells count="2">
    <mergeCell ref="A1:J1"/>
    <mergeCell ref="A2:J2"/>
  </mergeCells>
  <conditionalFormatting sqref="G4:G203">
    <cfRule type="cellIs" priority="1" operator="equal" dxfId="7">
      <formula>"Applied"</formula>
    </cfRule>
    <cfRule type="cellIs" priority="2" operator="equal" dxfId="8">
      <formula>"Shortlisted"</formula>
    </cfRule>
    <cfRule type="cellIs" priority="3" operator="equal" dxfId="9">
      <formula>"Interview"</formula>
    </cfRule>
    <cfRule type="cellIs" priority="4" operator="equal" dxfId="4">
      <formula>"Offer"</formula>
    </cfRule>
    <cfRule type="cellIs" priority="5" operator="equal" dxfId="10">
      <formula>"Rejected"</formula>
    </cfRule>
    <cfRule type="cellIs" priority="6" operator="equal" dxfId="10">
      <formula>"Ghosted"</formula>
    </cfRule>
  </conditionalFormatting>
  <dataValidations count="2">
    <dataValidation sqref="G4:G203" showDropDown="0" showInputMessage="0" showErrorMessage="0" allowBlank="1" type="list">
      <formula1>"Not applied,Applied,Shortlisted,Interview,Offer,Rejected,Ghosted"</formula1>
    </dataValidation>
    <dataValidation sqref="E4:E203" showDropDown="0" showInputMessage="0" showErrorMessage="0" allowBlank="1" type="list">
      <formula1>"Infopark board,Technopark,Naukri,LinkedIn,Referral,Instahyre,Cutshort,Foundit,Indeed,Internshala,Other"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D9CDB"/>
    <outlinePr summaryBelow="1" summaryRight="1"/>
    <pageSetUpPr fitToPage="1"/>
  </sheetPr>
  <dimension ref="A1:G43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8" customWidth="1" min="3" max="3"/>
    <col width="52" customWidth="1" min="4" max="4"/>
    <col width="34" customWidth="1" min="5" max="5"/>
    <col width="12" customWidth="1" min="6" max="6"/>
    <col width="13" customWidth="1" min="7" max="7"/>
  </cols>
  <sheetData>
    <row r="1" ht="34" customHeight="1">
      <c r="A1" s="1" t="inlineStr">
        <is>
          <t>INTERVIEW PREP</t>
        </is>
      </c>
    </row>
    <row r="2" ht="30" customHeight="1">
      <c r="A2" s="2" t="inlineStr">
        <is>
          <t>Answer out loud first, then write the short version here. Revise the low-confidence ones weekly.</t>
        </is>
      </c>
    </row>
    <row r="3" ht="28" customHeight="1">
      <c r="A3" s="23" t="inlineStr">
        <is>
          <t>Topic</t>
        </is>
      </c>
      <c r="B3" s="23" t="inlineStr">
        <is>
          <t>#</t>
        </is>
      </c>
      <c r="C3" s="23" t="inlineStr">
        <is>
          <t>Question</t>
        </is>
      </c>
      <c r="D3" s="23" t="inlineStr">
        <is>
          <t>Your answer (short version)</t>
        </is>
      </c>
      <c r="E3" s="23" t="inlineStr">
        <is>
          <t>Example from your projects</t>
        </is>
      </c>
      <c r="F3" s="23" t="inlineStr">
        <is>
          <t>Confidence 1–5</t>
        </is>
      </c>
      <c r="G3" s="23" t="inlineStr">
        <is>
          <t>Last revised</t>
        </is>
      </c>
    </row>
    <row r="4" ht="30" customHeight="1">
      <c r="A4" s="24" t="inlineStr">
        <is>
          <t>JavaScript</t>
        </is>
      </c>
      <c r="B4" s="25" t="n">
        <v>1</v>
      </c>
      <c r="C4" s="24" t="inlineStr">
        <is>
          <t>What is a closure? Give a real use case.</t>
        </is>
      </c>
      <c r="D4" s="24" t="n"/>
      <c r="E4" s="24" t="n"/>
      <c r="F4" s="25" t="n">
        <v>0</v>
      </c>
      <c r="G4" s="69" t="n"/>
    </row>
    <row r="5" ht="30" customHeight="1">
      <c r="A5" s="24" t="inlineStr">
        <is>
          <t>JavaScript</t>
        </is>
      </c>
      <c r="B5" s="25" t="n">
        <v>2</v>
      </c>
      <c r="C5" s="24" t="inlineStr">
        <is>
          <t>Difference between var, let and const, including hoisting and TDZ.</t>
        </is>
      </c>
      <c r="D5" s="24" t="n"/>
      <c r="E5" s="24" t="n"/>
      <c r="F5" s="25" t="n">
        <v>0</v>
      </c>
      <c r="G5" s="69" t="n"/>
    </row>
    <row r="6" ht="30" customHeight="1">
      <c r="A6" s="24" t="inlineStr">
        <is>
          <t>JavaScript</t>
        </is>
      </c>
      <c r="B6" s="25" t="n">
        <v>3</v>
      </c>
      <c r="C6" s="24" t="inlineStr">
        <is>
          <t>Explain the event loop with a setTimeout + Promise example.</t>
        </is>
      </c>
      <c r="D6" s="24" t="n"/>
      <c r="E6" s="24" t="n"/>
      <c r="F6" s="25" t="n">
        <v>0</v>
      </c>
      <c r="G6" s="69" t="n"/>
    </row>
    <row r="7" ht="30" customHeight="1">
      <c r="A7" s="24" t="inlineStr">
        <is>
          <t>JavaScript</t>
        </is>
      </c>
      <c r="B7" s="25" t="n">
        <v>4</v>
      </c>
      <c r="C7" s="24" t="inlineStr">
        <is>
          <t>Implement debounce and throttle.</t>
        </is>
      </c>
      <c r="D7" s="24" t="n"/>
      <c r="E7" s="24" t="n"/>
      <c r="F7" s="25" t="n">
        <v>0</v>
      </c>
      <c r="G7" s="69" t="n"/>
    </row>
    <row r="8" ht="30" customHeight="1">
      <c r="A8" s="24" t="inlineStr">
        <is>
          <t>JavaScript</t>
        </is>
      </c>
      <c r="B8" s="25" t="n">
        <v>5</v>
      </c>
      <c r="C8" s="24" t="inlineStr">
        <is>
          <t>map vs forEach vs filter vs reduce — when do you use each?</t>
        </is>
      </c>
      <c r="D8" s="24" t="n"/>
      <c r="E8" s="24" t="n"/>
      <c r="F8" s="25" t="n">
        <v>0</v>
      </c>
      <c r="G8" s="69" t="n"/>
    </row>
    <row r="9" ht="30" customHeight="1">
      <c r="A9" s="24" t="inlineStr">
        <is>
          <t>JavaScript</t>
        </is>
      </c>
      <c r="B9" s="25" t="n">
        <v>6</v>
      </c>
      <c r="C9" s="24" t="inlineStr">
        <is>
          <t>Explain `this` in arrow functions vs regular functions.</t>
        </is>
      </c>
      <c r="D9" s="24" t="n"/>
      <c r="E9" s="24" t="n"/>
      <c r="F9" s="25" t="n">
        <v>0</v>
      </c>
      <c r="G9" s="69" t="n"/>
    </row>
    <row r="10" ht="30" customHeight="1">
      <c r="A10" s="24" t="inlineStr">
        <is>
          <t>JavaScript</t>
        </is>
      </c>
      <c r="B10" s="25" t="n">
        <v>7</v>
      </c>
      <c r="C10" s="24" t="inlineStr">
        <is>
          <t>Shallow vs deep copy — write a deep clone.</t>
        </is>
      </c>
      <c r="D10" s="24" t="n"/>
      <c r="E10" s="24" t="n"/>
      <c r="F10" s="25" t="n">
        <v>0</v>
      </c>
      <c r="G10" s="69" t="n"/>
    </row>
    <row r="11" ht="30" customHeight="1">
      <c r="A11" s="24" t="inlineStr">
        <is>
          <t>JavaScript</t>
        </is>
      </c>
      <c r="B11" s="25" t="n">
        <v>8</v>
      </c>
      <c r="C11" s="24" t="inlineStr">
        <is>
          <t>What is event delegation and why is it useful?</t>
        </is>
      </c>
      <c r="D11" s="24" t="n"/>
      <c r="E11" s="24" t="n"/>
      <c r="F11" s="25" t="n">
        <v>0</v>
      </c>
      <c r="G11" s="69" t="n"/>
    </row>
    <row r="12" ht="30" customHeight="1">
      <c r="A12" s="24" t="inlineStr">
        <is>
          <t>JavaScript</t>
        </is>
      </c>
      <c r="B12" s="25" t="n">
        <v>9</v>
      </c>
      <c r="C12" s="24" t="inlineStr">
        <is>
          <t>Explain promises vs async/await and error handling.</t>
        </is>
      </c>
      <c r="D12" s="24" t="n"/>
      <c r="E12" s="24" t="n"/>
      <c r="F12" s="25" t="n">
        <v>0</v>
      </c>
      <c r="G12" s="69" t="n"/>
    </row>
    <row r="13" ht="30" customHeight="1">
      <c r="A13" s="24" t="inlineStr">
        <is>
          <t>JavaScript</t>
        </is>
      </c>
      <c r="B13" s="25" t="n">
        <v>10</v>
      </c>
      <c r="C13" s="24" t="inlineStr">
        <is>
          <t>Curry a function: sum(1)(2)(3).</t>
        </is>
      </c>
      <c r="D13" s="24" t="n"/>
      <c r="E13" s="24" t="n"/>
      <c r="F13" s="25" t="n">
        <v>0</v>
      </c>
      <c r="G13" s="69" t="n"/>
    </row>
    <row r="14" ht="30" customHeight="1">
      <c r="A14" s="24" t="inlineStr">
        <is>
          <t>React</t>
        </is>
      </c>
      <c r="B14" s="25" t="n">
        <v>1</v>
      </c>
      <c r="C14" s="24" t="inlineStr">
        <is>
          <t>Why does React use keys? What breaks with index keys?</t>
        </is>
      </c>
      <c r="D14" s="24" t="n"/>
      <c r="E14" s="24" t="n"/>
      <c r="F14" s="25" t="n">
        <v>0</v>
      </c>
      <c r="G14" s="69" t="n"/>
    </row>
    <row r="15" ht="30" customHeight="1">
      <c r="A15" s="24" t="inlineStr">
        <is>
          <t>React</t>
        </is>
      </c>
      <c r="B15" s="25" t="n">
        <v>2</v>
      </c>
      <c r="C15" s="24" t="inlineStr">
        <is>
          <t>Virtual DOM and reconciliation — explain simply.</t>
        </is>
      </c>
      <c r="D15" s="24" t="n"/>
      <c r="E15" s="24" t="n"/>
      <c r="F15" s="25" t="n">
        <v>0</v>
      </c>
      <c r="G15" s="69" t="n"/>
    </row>
    <row r="16" ht="30" customHeight="1">
      <c r="A16" s="24" t="inlineStr">
        <is>
          <t>React</t>
        </is>
      </c>
      <c r="B16" s="25" t="n">
        <v>3</v>
      </c>
      <c r="C16" s="24" t="inlineStr">
        <is>
          <t>useEffect dependency array — what causes infinite loops?</t>
        </is>
      </c>
      <c r="D16" s="24" t="n"/>
      <c r="E16" s="24" t="n"/>
      <c r="F16" s="25" t="n">
        <v>0</v>
      </c>
      <c r="G16" s="69" t="n"/>
    </row>
    <row r="17" ht="30" customHeight="1">
      <c r="A17" s="24" t="inlineStr">
        <is>
          <t>React</t>
        </is>
      </c>
      <c r="B17" s="25" t="n">
        <v>4</v>
      </c>
      <c r="C17" s="24" t="inlineStr">
        <is>
          <t>Controlled vs uncontrolled components.</t>
        </is>
      </c>
      <c r="D17" s="24" t="n"/>
      <c r="E17" s="24" t="n"/>
      <c r="F17" s="25" t="n">
        <v>0</v>
      </c>
      <c r="G17" s="69" t="n"/>
    </row>
    <row r="18" ht="30" customHeight="1">
      <c r="A18" s="24" t="inlineStr">
        <is>
          <t>React</t>
        </is>
      </c>
      <c r="B18" s="25" t="n">
        <v>5</v>
      </c>
      <c r="C18" s="24" t="inlineStr">
        <is>
          <t>What does lifting state up mean? When is Context better?</t>
        </is>
      </c>
      <c r="D18" s="24" t="n"/>
      <c r="E18" s="24" t="n"/>
      <c r="F18" s="25" t="n">
        <v>0</v>
      </c>
      <c r="G18" s="69" t="n"/>
    </row>
    <row r="19" ht="30" customHeight="1">
      <c r="A19" s="24" t="inlineStr">
        <is>
          <t>React</t>
        </is>
      </c>
      <c r="B19" s="25" t="n">
        <v>6</v>
      </c>
      <c r="C19" s="24" t="inlineStr">
        <is>
          <t>Write a custom hook for fetching data.</t>
        </is>
      </c>
      <c r="D19" s="24" t="n"/>
      <c r="E19" s="24" t="n"/>
      <c r="F19" s="25" t="n">
        <v>0</v>
      </c>
      <c r="G19" s="69" t="n"/>
    </row>
    <row r="20" ht="30" customHeight="1">
      <c r="A20" s="24" t="inlineStr">
        <is>
          <t>React</t>
        </is>
      </c>
      <c r="B20" s="25" t="n">
        <v>7</v>
      </c>
      <c r="C20" s="24" t="inlineStr">
        <is>
          <t>useMemo vs useCallback vs React.memo — when does each help?</t>
        </is>
      </c>
      <c r="D20" s="24" t="n"/>
      <c r="E20" s="24" t="n"/>
      <c r="F20" s="25" t="n">
        <v>0</v>
      </c>
      <c r="G20" s="69" t="n"/>
    </row>
    <row r="21" ht="30" customHeight="1">
      <c r="A21" s="24" t="inlineStr">
        <is>
          <t>React</t>
        </is>
      </c>
      <c r="B21" s="25" t="n">
        <v>8</v>
      </c>
      <c r="C21" s="24" t="inlineStr">
        <is>
          <t>How does React Router handle params and nested routes?</t>
        </is>
      </c>
      <c r="D21" s="24" t="n"/>
      <c r="E21" s="24" t="n"/>
      <c r="F21" s="25" t="n">
        <v>0</v>
      </c>
      <c r="G21" s="69" t="n"/>
    </row>
    <row r="22" ht="30" customHeight="1">
      <c r="A22" s="24" t="inlineStr">
        <is>
          <t>React</t>
        </is>
      </c>
      <c r="B22" s="25" t="n">
        <v>9</v>
      </c>
      <c r="C22" s="24" t="inlineStr">
        <is>
          <t>How would you optimise a slow list of 1,000 items?</t>
        </is>
      </c>
      <c r="D22" s="24" t="n"/>
      <c r="E22" s="24" t="n"/>
      <c r="F22" s="25" t="n">
        <v>0</v>
      </c>
      <c r="G22" s="69" t="n"/>
    </row>
    <row r="23" ht="30" customHeight="1">
      <c r="A23" s="24" t="inlineStr">
        <is>
          <t>React</t>
        </is>
      </c>
      <c r="B23" s="25" t="n">
        <v>10</v>
      </c>
      <c r="C23" s="24" t="inlineStr">
        <is>
          <t>Explain props drilling and two ways to avoid it.</t>
        </is>
      </c>
      <c r="D23" s="24" t="n"/>
      <c r="E23" s="24" t="n"/>
      <c r="F23" s="25" t="n">
        <v>0</v>
      </c>
      <c r="G23" s="69" t="n"/>
    </row>
    <row r="24" ht="30" customHeight="1">
      <c r="A24" s="24" t="inlineStr">
        <is>
          <t>Node / DB / API</t>
        </is>
      </c>
      <c r="B24" s="25" t="n">
        <v>1</v>
      </c>
      <c r="C24" s="24" t="inlineStr">
        <is>
          <t>What is middleware in Express? Write an auth guard.</t>
        </is>
      </c>
      <c r="D24" s="24" t="n"/>
      <c r="E24" s="24" t="n"/>
      <c r="F24" s="25" t="n">
        <v>0</v>
      </c>
      <c r="G24" s="69" t="n"/>
    </row>
    <row r="25" ht="30" customHeight="1">
      <c r="A25" s="24" t="inlineStr">
        <is>
          <t>Node / DB / API</t>
        </is>
      </c>
      <c r="B25" s="25" t="n">
        <v>2</v>
      </c>
      <c r="C25" s="24" t="inlineStr">
        <is>
          <t>JWT vs session cookies — trade-offs?</t>
        </is>
      </c>
      <c r="D25" s="24" t="n"/>
      <c r="E25" s="24" t="n"/>
      <c r="F25" s="25" t="n">
        <v>0</v>
      </c>
      <c r="G25" s="69" t="n"/>
    </row>
    <row r="26" ht="30" customHeight="1">
      <c r="A26" s="24" t="inlineStr">
        <is>
          <t>Node / DB / API</t>
        </is>
      </c>
      <c r="B26" s="25" t="n">
        <v>3</v>
      </c>
      <c r="C26" s="24" t="inlineStr">
        <is>
          <t>How do you hash passwords and why bcrypt?</t>
        </is>
      </c>
      <c r="D26" s="24" t="n"/>
      <c r="E26" s="24" t="n"/>
      <c r="F26" s="25" t="n">
        <v>0</v>
      </c>
      <c r="G26" s="69" t="n"/>
    </row>
    <row r="27" ht="30" customHeight="1">
      <c r="A27" s="24" t="inlineStr">
        <is>
          <t>Node / DB / API</t>
        </is>
      </c>
      <c r="B27" s="25" t="n">
        <v>4</v>
      </c>
      <c r="C27" s="24" t="inlineStr">
        <is>
          <t>How do you handle errors centrally in Express?</t>
        </is>
      </c>
      <c r="D27" s="24" t="n"/>
      <c r="E27" s="24" t="n"/>
      <c r="F27" s="25" t="n">
        <v>0</v>
      </c>
      <c r="G27" s="69" t="n"/>
    </row>
    <row r="28" ht="30" customHeight="1">
      <c r="A28" s="24" t="inlineStr">
        <is>
          <t>Node / DB / API</t>
        </is>
      </c>
      <c r="B28" s="25" t="n">
        <v>5</v>
      </c>
      <c r="C28" s="24" t="inlineStr">
        <is>
          <t>SQL vs MongoDB — when would you pick each?</t>
        </is>
      </c>
      <c r="D28" s="24" t="n"/>
      <c r="E28" s="24" t="n"/>
      <c r="F28" s="25" t="n">
        <v>0</v>
      </c>
      <c r="G28" s="69" t="n"/>
    </row>
    <row r="29" ht="30" customHeight="1">
      <c r="A29" s="24" t="inlineStr">
        <is>
          <t>Node / DB / API</t>
        </is>
      </c>
      <c r="B29" s="25" t="n">
        <v>6</v>
      </c>
      <c r="C29" s="24" t="inlineStr">
        <is>
          <t>What is an index? When does it slow writes down?</t>
        </is>
      </c>
      <c r="D29" s="24" t="n"/>
      <c r="E29" s="24" t="n"/>
      <c r="F29" s="25" t="n">
        <v>0</v>
      </c>
      <c r="G29" s="69" t="n"/>
    </row>
    <row r="30" ht="30" customHeight="1">
      <c r="A30" s="24" t="inlineStr">
        <is>
          <t>Node / DB / API</t>
        </is>
      </c>
      <c r="B30" s="25" t="n">
        <v>7</v>
      </c>
      <c r="C30" s="24" t="inlineStr">
        <is>
          <t>Explain a JOIN with an example from your project.</t>
        </is>
      </c>
      <c r="D30" s="24" t="n"/>
      <c r="E30" s="24" t="n"/>
      <c r="F30" s="25" t="n">
        <v>0</v>
      </c>
      <c r="G30" s="69" t="n"/>
    </row>
    <row r="31" ht="30" customHeight="1">
      <c r="A31" s="24" t="inlineStr">
        <is>
          <t>Node / DB / API</t>
        </is>
      </c>
      <c r="B31" s="25" t="n">
        <v>8</v>
      </c>
      <c r="C31" s="24" t="inlineStr">
        <is>
          <t>How do you prevent NoSQL injection / validate input?</t>
        </is>
      </c>
      <c r="D31" s="24" t="n"/>
      <c r="E31" s="24" t="n"/>
      <c r="F31" s="25" t="n">
        <v>0</v>
      </c>
      <c r="G31" s="69" t="n"/>
    </row>
    <row r="32" ht="30" customHeight="1">
      <c r="A32" s="24" t="inlineStr">
        <is>
          <t>Node / DB / API</t>
        </is>
      </c>
      <c r="B32" s="25" t="n">
        <v>9</v>
      </c>
      <c r="C32" s="24" t="inlineStr">
        <is>
          <t>How would you design pagination for 1M records?</t>
        </is>
      </c>
      <c r="D32" s="24" t="n"/>
      <c r="E32" s="24" t="n"/>
      <c r="F32" s="25" t="n">
        <v>0</v>
      </c>
      <c r="G32" s="69" t="n"/>
    </row>
    <row r="33" ht="30" customHeight="1">
      <c r="A33" s="24" t="inlineStr">
        <is>
          <t>Node / DB / API</t>
        </is>
      </c>
      <c r="B33" s="25" t="n">
        <v>10</v>
      </c>
      <c r="C33" s="24" t="inlineStr">
        <is>
          <t>Walk me through deploying your API.</t>
        </is>
      </c>
      <c r="D33" s="24" t="n"/>
      <c r="E33" s="24" t="n"/>
      <c r="F33" s="25" t="n">
        <v>0</v>
      </c>
      <c r="G33" s="69" t="n"/>
    </row>
    <row r="34" ht="30" customHeight="1">
      <c r="A34" s="24" t="inlineStr">
        <is>
          <t>HR / Behavioural</t>
        </is>
      </c>
      <c r="B34" s="25" t="n">
        <v>1</v>
      </c>
      <c r="C34" s="24" t="inlineStr">
        <is>
          <t>Tell me about yourself (30 seconds, not 3 minutes).</t>
        </is>
      </c>
      <c r="D34" s="24" t="n"/>
      <c r="E34" s="24" t="n"/>
      <c r="F34" s="25" t="n">
        <v>0</v>
      </c>
      <c r="G34" s="69" t="n"/>
    </row>
    <row r="35" ht="30" customHeight="1">
      <c r="A35" s="24" t="inlineStr">
        <is>
          <t>HR / Behavioural</t>
        </is>
      </c>
      <c r="B35" s="25" t="n">
        <v>2</v>
      </c>
      <c r="C35" s="24" t="inlineStr">
        <is>
          <t>Why full stack, and why should we hire a fresher?</t>
        </is>
      </c>
      <c r="D35" s="24" t="n"/>
      <c r="E35" s="24" t="n"/>
      <c r="F35" s="25" t="n">
        <v>0</v>
      </c>
      <c r="G35" s="69" t="n"/>
    </row>
    <row r="36" ht="30" customHeight="1">
      <c r="A36" s="24" t="inlineStr">
        <is>
          <t>HR / Behavioural</t>
        </is>
      </c>
      <c r="B36" s="25" t="n">
        <v>3</v>
      </c>
      <c r="C36" s="24" t="inlineStr">
        <is>
          <t>Tell me about a bug that took you days. How did you find it?</t>
        </is>
      </c>
      <c r="D36" s="24" t="n"/>
      <c r="E36" s="24" t="n"/>
      <c r="F36" s="25" t="n">
        <v>0</v>
      </c>
      <c r="G36" s="69" t="n"/>
    </row>
    <row r="37" ht="30" customHeight="1">
      <c r="A37" s="24" t="inlineStr">
        <is>
          <t>HR / Behavioural</t>
        </is>
      </c>
      <c r="B37" s="25" t="n">
        <v>4</v>
      </c>
      <c r="C37" s="24" t="inlineStr">
        <is>
          <t>Describe a time you had to learn something fast.</t>
        </is>
      </c>
      <c r="D37" s="24" t="n"/>
      <c r="E37" s="24" t="n"/>
      <c r="F37" s="25" t="n">
        <v>0</v>
      </c>
      <c r="G37" s="69" t="n"/>
    </row>
    <row r="38" ht="30" customHeight="1">
      <c r="A38" s="24" t="inlineStr">
        <is>
          <t>HR / Behavioural</t>
        </is>
      </c>
      <c r="B38" s="25" t="n">
        <v>5</v>
      </c>
      <c r="C38" s="24" t="inlineStr">
        <is>
          <t>What did you do at your internship? (Quantify it.)</t>
        </is>
      </c>
      <c r="D38" s="24" t="n"/>
      <c r="E38" s="24" t="n"/>
      <c r="F38" s="25" t="n">
        <v>0</v>
      </c>
      <c r="G38" s="69" t="n"/>
    </row>
    <row r="39" ht="30" customHeight="1">
      <c r="A39" s="24" t="inlineStr">
        <is>
          <t>HR / Behavioural</t>
        </is>
      </c>
      <c r="B39" s="25" t="n">
        <v>6</v>
      </c>
      <c r="C39" s="24" t="inlineStr">
        <is>
          <t>Where do you see yourself in 2 years?</t>
        </is>
      </c>
      <c r="D39" s="24" t="n"/>
      <c r="E39" s="24" t="n"/>
      <c r="F39" s="25" t="n">
        <v>0</v>
      </c>
      <c r="G39" s="69" t="n"/>
    </row>
    <row r="40" ht="30" customHeight="1">
      <c r="A40" s="24" t="inlineStr">
        <is>
          <t>HR / Behavioural</t>
        </is>
      </c>
      <c r="B40" s="25" t="n">
        <v>7</v>
      </c>
      <c r="C40" s="24" t="inlineStr">
        <is>
          <t>Why our company, specifically?</t>
        </is>
      </c>
      <c r="D40" s="24" t="n"/>
      <c r="E40" s="24" t="n"/>
      <c r="F40" s="25" t="n">
        <v>0</v>
      </c>
      <c r="G40" s="69" t="n"/>
    </row>
    <row r="41" ht="30" customHeight="1">
      <c r="A41" s="24" t="inlineStr">
        <is>
          <t>HR / Behavioural</t>
        </is>
      </c>
      <c r="B41" s="25" t="n">
        <v>8</v>
      </c>
      <c r="C41" s="24" t="inlineStr">
        <is>
          <t>What are your salary expectations?</t>
        </is>
      </c>
      <c r="D41" s="24" t="n"/>
      <c r="E41" s="24" t="n"/>
      <c r="F41" s="25" t="n">
        <v>0</v>
      </c>
      <c r="G41" s="69" t="n"/>
    </row>
    <row r="42" ht="30" customHeight="1">
      <c r="A42" s="24" t="inlineStr">
        <is>
          <t>HR / Behavioural</t>
        </is>
      </c>
      <c r="B42" s="25" t="n">
        <v>9</v>
      </c>
      <c r="C42" s="24" t="inlineStr">
        <is>
          <t>How do you handle deadlines and pressure?</t>
        </is>
      </c>
      <c r="D42" s="24" t="n"/>
      <c r="E42" s="24" t="n"/>
      <c r="F42" s="25" t="n">
        <v>0</v>
      </c>
      <c r="G42" s="69" t="n"/>
    </row>
    <row r="43" ht="30" customHeight="1">
      <c r="A43" s="24" t="inlineStr">
        <is>
          <t>HR / Behavioural</t>
        </is>
      </c>
      <c r="B43" s="25" t="n">
        <v>10</v>
      </c>
      <c r="C43" s="24" t="inlineStr">
        <is>
          <t>Do you have any questions for us? (Always yes: team, code review, learning budget.)</t>
        </is>
      </c>
      <c r="D43" s="24" t="n"/>
      <c r="E43" s="24" t="n"/>
      <c r="F43" s="25" t="n">
        <v>0</v>
      </c>
      <c r="G43" s="69" t="n"/>
    </row>
  </sheetData>
  <autoFilter ref="A3:G43"/>
  <mergeCells count="2">
    <mergeCell ref="A2:G2"/>
    <mergeCell ref="A1:G1"/>
  </mergeCells>
  <conditionalFormatting sqref="F4:F43">
    <cfRule type="cellIs" priority="1" operator="lessThanOrEqual" dxfId="3">
      <formula>2</formula>
    </cfRule>
    <cfRule type="cellIs" priority="2" operator="greaterThanOrEqual" dxfId="11">
      <formula>4</formula>
    </cfRule>
  </conditionalFormatting>
  <dataValidations count="1">
    <dataValidation sqref="F4:F43" showDropDown="0" showInputMessage="0" showErrorMessage="0" allowBlank="1" type="whole" operator="between">
      <formula1>0</formula1>
      <formula2>5</formula2>
    </dataValidation>
  </dataValidations>
  <printOptions horizontalCentered="1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E5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  <col width="30" customWidth="1" min="4" max="4"/>
    <col width="62" customWidth="1" min="5" max="5"/>
  </cols>
  <sheetData>
    <row r="1" ht="34" customHeight="1">
      <c r="A1" s="1" t="inlineStr">
        <is>
          <t>RESOURCES</t>
        </is>
      </c>
    </row>
    <row r="2" ht="30" customHeight="1">
      <c r="A2" s="2" t="inlineStr">
        <is>
          <t>Every link verified when the roadmap was built (Oct 2026). If a video link dies, search the channel name.</t>
        </is>
      </c>
    </row>
    <row r="3" ht="28" customHeight="1">
      <c r="A3" s="23" t="inlineStr">
        <is>
          <t>Season</t>
        </is>
      </c>
      <c r="B3" s="23" t="inlineStr">
        <is>
          <t>Type</t>
        </is>
      </c>
      <c r="C3" s="23" t="inlineStr">
        <is>
          <t>Resource</t>
        </is>
      </c>
      <c r="D3" s="23" t="inlineStr">
        <is>
          <t>Channel / site</t>
        </is>
      </c>
      <c r="E3" s="23" t="inlineStr">
        <is>
          <t>Link</t>
        </is>
      </c>
    </row>
    <row r="4">
      <c r="A4" s="24" t="inlineStr">
        <is>
          <t>01 🎮 Setup, Git &amp; HTML/CSS Pro</t>
        </is>
      </c>
      <c r="B4" s="24" t="inlineStr">
        <is>
          <t>Video/Docs</t>
        </is>
      </c>
      <c r="C4" s="24" t="inlineStr">
        <is>
          <t>Complete Git and GitHub Tutorial</t>
        </is>
      </c>
      <c r="D4" s="24" t="inlineStr">
        <is>
          <t>Kunal Kushwaha</t>
        </is>
      </c>
      <c r="E4" s="24" t="inlineStr">
        <is>
          <t>https://www.youtube.com/watch?v=apGV9Kg7ics</t>
        </is>
      </c>
    </row>
    <row r="5">
      <c r="A5" s="24" t="inlineStr">
        <is>
          <t>01 🎮 Setup, Git &amp; HTML/CSS Pro</t>
        </is>
      </c>
      <c r="B5" s="24" t="inlineStr">
        <is>
          <t>Video/Docs</t>
        </is>
      </c>
      <c r="C5" s="24" t="inlineStr">
        <is>
          <t>HTML &amp; CSS Full Course – Beginner to Pro</t>
        </is>
      </c>
      <c r="D5" s="24" t="inlineStr">
        <is>
          <t>SuperSimpleDev</t>
        </is>
      </c>
      <c r="E5" s="24" t="inlineStr">
        <is>
          <t>https://www.youtube.com/watch?v=G3e-cpL7ofc</t>
        </is>
      </c>
    </row>
    <row r="6">
      <c r="A6" s="24" t="inlineStr">
        <is>
          <t>01 🎮 Setup, Git &amp; HTML/CSS Pro</t>
        </is>
      </c>
      <c r="B6" s="24" t="inlineStr">
        <is>
          <t>Video/Docs</t>
        </is>
      </c>
      <c r="C6" s="24" t="inlineStr">
        <is>
          <t>Frontend Roadmap (read, don't binge)</t>
        </is>
      </c>
      <c r="D6" s="24" t="inlineStr">
        <is>
          <t>roadmap.sh</t>
        </is>
      </c>
      <c r="E6" s="24" t="inlineStr">
        <is>
          <t>https://roadmap.sh/frontend</t>
        </is>
      </c>
    </row>
    <row r="7">
      <c r="A7" s="24" t="inlineStr">
        <is>
          <t>02 ⚡ JavaScript Deep Dive</t>
        </is>
      </c>
      <c r="B7" s="24" t="inlineStr">
        <is>
          <t>Video/Docs</t>
        </is>
      </c>
      <c r="C7" s="24" t="inlineStr">
        <is>
          <t>JavaScript Tutorial Full Course – Beginner to Pro (2024)</t>
        </is>
      </c>
      <c r="D7" s="24" t="inlineStr">
        <is>
          <t>SuperSimpleDev</t>
        </is>
      </c>
      <c r="E7" s="24" t="inlineStr">
        <is>
          <t>https://www.youtube.com/watch?v=EerdGm-ehJQ</t>
        </is>
      </c>
    </row>
    <row r="8">
      <c r="A8" s="24" t="inlineStr">
        <is>
          <t>02 ⚡ JavaScript Deep Dive</t>
        </is>
      </c>
      <c r="B8" s="24" t="inlineStr">
        <is>
          <t>Video/Docs</t>
        </is>
      </c>
      <c r="C8" s="24" t="inlineStr">
        <is>
          <t>Namaste JavaScript (Season 1 + 2)</t>
        </is>
      </c>
      <c r="D8" s="24" t="inlineStr">
        <is>
          <t>Akshay Saini</t>
        </is>
      </c>
      <c r="E8" s="24" t="inlineStr">
        <is>
          <t>https://www.youtube.com/playlist?list=PLlasXeu85E9cQ32gLCvAvr9vNaUccPVNP</t>
        </is>
      </c>
    </row>
    <row r="9">
      <c r="A9" s="24" t="inlineStr">
        <is>
          <t>02 ⚡ JavaScript Deep Dive</t>
        </is>
      </c>
      <c r="B9" s="24" t="inlineStr">
        <is>
          <t>Video/Docs</t>
        </is>
      </c>
      <c r="C9" s="24" t="inlineStr">
        <is>
          <t>The Modern JavaScript Tutorial</t>
        </is>
      </c>
      <c r="D9" s="24" t="inlineStr">
        <is>
          <t>javascript.info</t>
        </is>
      </c>
      <c r="E9" s="24" t="inlineStr">
        <is>
          <t>https://javascript.info</t>
        </is>
      </c>
    </row>
    <row r="10">
      <c r="A10" s="24" t="inlineStr">
        <is>
          <t>03 🔥 React + TypeScript + Tailwind</t>
        </is>
      </c>
      <c r="B10" s="24" t="inlineStr">
        <is>
          <t>Video/Docs</t>
        </is>
      </c>
      <c r="C10" s="24" t="inlineStr">
        <is>
          <t>Chai aur React</t>
        </is>
      </c>
      <c r="D10" s="24" t="inlineStr">
        <is>
          <t>Hitesh Choudhary (chai aur code)</t>
        </is>
      </c>
      <c r="E10" s="24" t="inlineStr">
        <is>
          <t>https://www.youtube.com/playlist?list=PLu71SKxNbfoDqgPchmvIsL4hTnJIrtige</t>
        </is>
      </c>
    </row>
    <row r="11">
      <c r="A11" s="24" t="inlineStr">
        <is>
          <t>03 🔥 React + TypeScript + Tailwind</t>
        </is>
      </c>
      <c r="B11" s="24" t="inlineStr">
        <is>
          <t>Video/Docs</t>
        </is>
      </c>
      <c r="C11" s="24" t="inlineStr">
        <is>
          <t>TypeScript playlist</t>
        </is>
      </c>
      <c r="D11" s="24" t="inlineStr">
        <is>
          <t>Hitesh Choudhary</t>
        </is>
      </c>
      <c r="E11" s="24" t="inlineStr">
        <is>
          <t>https://www.youtube.com/playlist?list=PLRAV69dS1uWRPSfKzwZsIm-Axxq-LxqhW</t>
        </is>
      </c>
    </row>
    <row r="12">
      <c r="A12" s="24" t="inlineStr">
        <is>
          <t>03 🔥 React + TypeScript + Tailwind</t>
        </is>
      </c>
      <c r="B12" s="24" t="inlineStr">
        <is>
          <t>Video/Docs</t>
        </is>
      </c>
      <c r="C12" s="24" t="inlineStr">
        <is>
          <t>Learn React (official docs)</t>
        </is>
      </c>
      <c r="D12" s="24" t="inlineStr">
        <is>
          <t>react.dev</t>
        </is>
      </c>
      <c r="E12" s="24" t="inlineStr">
        <is>
          <t>https://react.dev/learn</t>
        </is>
      </c>
    </row>
    <row r="13">
      <c r="A13" s="24" t="inlineStr">
        <is>
          <t>03 🔥 React + TypeScript + Tailwind</t>
        </is>
      </c>
      <c r="B13" s="24" t="inlineStr">
        <is>
          <t>Video/Docs</t>
        </is>
      </c>
      <c r="C13" s="24" t="inlineStr">
        <is>
          <t>Tailwind CSS docs</t>
        </is>
      </c>
      <c r="D13" s="24" t="inlineStr">
        <is>
          <t>tailwindcss.com</t>
        </is>
      </c>
      <c r="E13" s="24" t="inlineStr">
        <is>
          <t>https://tailwindcss.com/docs</t>
        </is>
      </c>
    </row>
    <row r="14">
      <c r="A14" s="24" t="inlineStr">
        <is>
          <t>04 🏰 Node.js + Express + MongoDB</t>
        </is>
      </c>
      <c r="B14" s="24" t="inlineStr">
        <is>
          <t>Video/Docs</t>
        </is>
      </c>
      <c r="C14" s="24" t="inlineStr">
        <is>
          <t>Complete Backend Developer Course (chai aur backend)</t>
        </is>
      </c>
      <c r="D14" s="24" t="inlineStr">
        <is>
          <t>Hitesh Choudhary</t>
        </is>
      </c>
      <c r="E14" s="24" t="inlineStr">
        <is>
          <t>https://www.youtube.com/watch?v=7fjOw8ApZ1I</t>
        </is>
      </c>
    </row>
    <row r="15">
      <c r="A15" s="24" t="inlineStr">
        <is>
          <t>04 🏰 Node.js + Express + MongoDB</t>
        </is>
      </c>
      <c r="B15" s="24" t="inlineStr">
        <is>
          <t>Video/Docs</t>
        </is>
      </c>
      <c r="C15" s="24" t="inlineStr">
        <is>
          <t>Node.js Crash Course Tutorial</t>
        </is>
      </c>
      <c r="D15" s="24" t="inlineStr">
        <is>
          <t>The Net Ninja</t>
        </is>
      </c>
      <c r="E15" s="24" t="inlineStr">
        <is>
          <t>https://www.youtube.com/watch?v=zb3Qk8SG5Ms</t>
        </is>
      </c>
    </row>
    <row r="16">
      <c r="A16" s="24" t="inlineStr">
        <is>
          <t>04 🏰 Node.js + Express + MongoDB</t>
        </is>
      </c>
      <c r="B16" s="24" t="inlineStr">
        <is>
          <t>Video/Docs</t>
        </is>
      </c>
      <c r="C16" s="24" t="inlineStr">
        <is>
          <t>MongoDB free courses</t>
        </is>
      </c>
      <c r="D16" s="24" t="inlineStr">
        <is>
          <t>MongoDB University</t>
        </is>
      </c>
      <c r="E16" s="24" t="inlineStr">
        <is>
          <t>https://learn.mongodb.com</t>
        </is>
      </c>
    </row>
    <row r="17">
      <c r="A17" s="24" t="inlineStr">
        <is>
          <t>05 🗺️ SQL + Python (Kerala JD insurance)</t>
        </is>
      </c>
      <c r="B17" s="24" t="inlineStr">
        <is>
          <t>Video/Docs</t>
        </is>
      </c>
      <c r="C17" s="24" t="inlineStr">
        <is>
          <t>MySQL Tutorial for Beginners [Full Course]</t>
        </is>
      </c>
      <c r="D17" s="24" t="inlineStr">
        <is>
          <t>Programming with Mosh</t>
        </is>
      </c>
      <c r="E17" s="24" t="inlineStr">
        <is>
          <t>https://www.youtube.com/watch?v=7S_tz1z_5bA</t>
        </is>
      </c>
    </row>
    <row r="18">
      <c r="A18" s="24" t="inlineStr">
        <is>
          <t>05 🗺️ SQL + Python (Kerala JD insurance)</t>
        </is>
      </c>
      <c r="B18" s="24" t="inlineStr">
        <is>
          <t>Video/Docs</t>
        </is>
      </c>
      <c r="C18" s="24" t="inlineStr">
        <is>
          <t>Python Tutorial – Python for Beginners</t>
        </is>
      </c>
      <c r="D18" s="24" t="inlineStr">
        <is>
          <t>Programming with Mosh</t>
        </is>
      </c>
      <c r="E18" s="24" t="inlineStr">
        <is>
          <t>https://www.youtube.com/watch?v=_uQrJ0TkZlc</t>
        </is>
      </c>
    </row>
    <row r="19">
      <c r="A19" s="24" t="inlineStr">
        <is>
          <t>05 🗺️ SQL + Python (Kerala JD insurance)</t>
        </is>
      </c>
      <c r="B19" s="24" t="inlineStr">
        <is>
          <t>Video/Docs</t>
        </is>
      </c>
      <c r="C19" s="24" t="inlineStr">
        <is>
          <t>Django official tutorial (or Flask quickstart)</t>
        </is>
      </c>
      <c r="D19" s="24" t="inlineStr">
        <is>
          <t>Django docs</t>
        </is>
      </c>
      <c r="E19" s="24" t="inlineStr">
        <is>
          <t>https://docs.djangoproject.com/en/stable/intro/tutorial01/</t>
        </is>
      </c>
    </row>
    <row r="20">
      <c r="A20" s="24" t="inlineStr">
        <is>
          <t>06 🐉 Capstone + Docker + CI/CD</t>
        </is>
      </c>
      <c r="B20" s="24" t="inlineStr">
        <is>
          <t>Video/Docs</t>
        </is>
      </c>
      <c r="C20" s="24" t="inlineStr">
        <is>
          <t>Docker Tutorial for Beginners [FULL COURSE in 3 Hours]</t>
        </is>
      </c>
      <c r="D20" s="24" t="inlineStr">
        <is>
          <t>TechWorld with Nana</t>
        </is>
      </c>
      <c r="E20" s="24" t="inlineStr">
        <is>
          <t>https://www.youtube.com/watch?v=3c-iBn73dDE</t>
        </is>
      </c>
    </row>
    <row r="21">
      <c r="A21" s="24" t="inlineStr">
        <is>
          <t>06 🐉 Capstone + Docker + CI/CD</t>
        </is>
      </c>
      <c r="B21" s="24" t="inlineStr">
        <is>
          <t>Video/Docs</t>
        </is>
      </c>
      <c r="C21" s="24" t="inlineStr">
        <is>
          <t>GitHub Actions documentation</t>
        </is>
      </c>
      <c r="D21" s="24" t="inlineStr">
        <is>
          <t>GitHub Docs</t>
        </is>
      </c>
      <c r="E21" s="24" t="inlineStr">
        <is>
          <t>https://docs.github.com/en/actions</t>
        </is>
      </c>
    </row>
    <row r="22">
      <c r="A22" s="24" t="inlineStr">
        <is>
          <t>06 🐉 Capstone + Docker + CI/CD</t>
        </is>
      </c>
      <c r="B22" s="24" t="inlineStr">
        <is>
          <t>Video/Docs</t>
        </is>
      </c>
      <c r="C22" s="24" t="inlineStr">
        <is>
          <t>Deployment guides</t>
        </is>
      </c>
      <c r="D22" s="24" t="inlineStr">
        <is>
          <t>Vercel / Render / Railway</t>
        </is>
      </c>
      <c r="E22" s="24" t="inlineStr">
        <is>
          <t>https://vercel.com/docs</t>
        </is>
      </c>
    </row>
    <row r="23">
      <c r="A23" s="24" t="inlineStr">
        <is>
          <t>07 🗡️ DSA &amp; Problem Solving</t>
        </is>
      </c>
      <c r="B23" s="24" t="inlineStr">
        <is>
          <t>Video/Docs</t>
        </is>
      </c>
      <c r="C23" s="24" t="inlineStr">
        <is>
          <t>Striver's A2Z DSA Sheet &amp; Course</t>
        </is>
      </c>
      <c r="D23" s="24" t="inlineStr">
        <is>
          <t>takeUforward</t>
        </is>
      </c>
      <c r="E23" s="24" t="inlineStr">
        <is>
          <t>https://takeuforward.org/dsa/strivers-a2z-sheet-learn-dsa-a-to-z</t>
        </is>
      </c>
    </row>
    <row r="24">
      <c r="A24" s="24" t="inlineStr">
        <is>
          <t>07 🗡️ DSA &amp; Problem Solving</t>
        </is>
      </c>
      <c r="B24" s="24" t="inlineStr">
        <is>
          <t>Video/Docs</t>
        </is>
      </c>
      <c r="C24" s="24" t="inlineStr">
        <is>
          <t>Striver A2Z playlist</t>
        </is>
      </c>
      <c r="D24" s="24" t="inlineStr">
        <is>
          <t>takeUforward</t>
        </is>
      </c>
      <c r="E24" s="24" t="inlineStr">
        <is>
          <t>https://www.youtube.com/playlist?list=PLgUwDviBIf0oF6QL8m22w1hIDC1vJ_BHz</t>
        </is>
      </c>
    </row>
    <row r="25">
      <c r="A25" s="24" t="inlineStr">
        <is>
          <t>07 🗡️ DSA &amp; Problem Solving</t>
        </is>
      </c>
      <c r="B25" s="24" t="inlineStr">
        <is>
          <t>Video/Docs</t>
        </is>
      </c>
      <c r="C25" s="24" t="inlineStr">
        <is>
          <t>NeetCode Roadmap (optional)</t>
        </is>
      </c>
      <c r="D25" s="24" t="inlineStr">
        <is>
          <t>NeetCode</t>
        </is>
      </c>
      <c r="E25" s="24" t="inlineStr">
        <is>
          <t>https://neetcode.io/roadmap</t>
        </is>
      </c>
    </row>
    <row r="26">
      <c r="A26" s="24" t="inlineStr">
        <is>
          <t>08 📊 Power BI + Analytics</t>
        </is>
      </c>
      <c r="B26" s="24" t="inlineStr">
        <is>
          <t>Video/Docs</t>
        </is>
      </c>
      <c r="C26" s="24" t="inlineStr">
        <is>
          <t>Power BI Project for Beginners (Sales Insights)</t>
        </is>
      </c>
      <c r="D26" s="24" t="inlineStr">
        <is>
          <t>codebasics</t>
        </is>
      </c>
      <c r="E26" s="24" t="inlineStr">
        <is>
          <t>https://www.youtube.com/playlist?list=PLeo1K3hjS3uva8pk1FI3iK9kCOKQdz1I9</t>
        </is>
      </c>
    </row>
    <row r="27">
      <c r="A27" s="24" t="inlineStr">
        <is>
          <t>08 📊 Power BI + Analytics</t>
        </is>
      </c>
      <c r="B27" s="24" t="inlineStr">
        <is>
          <t>Video/Docs</t>
        </is>
      </c>
      <c r="C27" s="24" t="inlineStr">
        <is>
          <t>Power BI Data Analyst (PL-300) certification path</t>
        </is>
      </c>
      <c r="D27" s="24" t="inlineStr">
        <is>
          <t>Microsoft Learn</t>
        </is>
      </c>
      <c r="E27" s="24" t="inlineStr">
        <is>
          <t>https://learn.microsoft.com/en-us/credentials/certifications/data-analyst-associate/</t>
        </is>
      </c>
    </row>
    <row r="28">
      <c r="A28" s="24" t="inlineStr">
        <is>
          <t>08 📊 Power BI + Analytics</t>
        </is>
      </c>
      <c r="B28" s="24" t="inlineStr">
        <is>
          <t>Video/Docs</t>
        </is>
      </c>
      <c r="C28" s="24" t="inlineStr">
        <is>
          <t>DAX overview</t>
        </is>
      </c>
      <c r="D28" s="24" t="inlineStr">
        <is>
          <t>Microsoft Learn</t>
        </is>
      </c>
      <c r="E28" s="24" t="inlineStr">
        <is>
          <t>https://learn.microsoft.com/en-us/dax/</t>
        </is>
      </c>
    </row>
    <row r="29">
      <c r="A29" s="24" t="inlineStr">
        <is>
          <t>09 🏁 Portfolio, Resume &amp; Offers</t>
        </is>
      </c>
      <c r="B29" s="24" t="inlineStr">
        <is>
          <t>Video/Docs</t>
        </is>
      </c>
      <c r="C29" s="24" t="inlineStr">
        <is>
          <t>System Design Primer</t>
        </is>
      </c>
      <c r="D29" s="24" t="inlineStr">
        <is>
          <t>GitHub · donnemartin</t>
        </is>
      </c>
      <c r="E29" s="24" t="inlineStr">
        <is>
          <t>https://github.com/donnemartin/system-design-primer</t>
        </is>
      </c>
    </row>
    <row r="30">
      <c r="A30" s="24" t="inlineStr">
        <is>
          <t>09 🏁 Portfolio, Resume &amp; Offers</t>
        </is>
      </c>
      <c r="B30" s="24" t="inlineStr">
        <is>
          <t>Video/Docs</t>
        </is>
      </c>
      <c r="C30" s="24" t="inlineStr">
        <is>
          <t>Frontend interview questions</t>
        </is>
      </c>
      <c r="D30" s="24" t="inlineStr">
        <is>
          <t>GeeksforGeeks</t>
        </is>
      </c>
      <c r="E30" s="24" t="inlineStr">
        <is>
          <t>https://www.geeksforgeeks.org/frontend-interview-questions/</t>
        </is>
      </c>
    </row>
    <row r="31">
      <c r="A31" s="24" t="inlineStr">
        <is>
          <t>09 🏁 Portfolio, Resume &amp; Offers</t>
        </is>
      </c>
      <c r="B31" s="24" t="inlineStr">
        <is>
          <t>Video/Docs</t>
        </is>
      </c>
      <c r="C31" s="24" t="inlineStr">
        <is>
          <t>Career + interview videos (Malayalam)</t>
        </is>
      </c>
      <c r="D31" s="24" t="inlineStr">
        <is>
          <t>Brototype Malayalam</t>
        </is>
      </c>
      <c r="E31" s="24" t="inlineStr">
        <is>
          <t>https://www.youtube.com/@BrototypeMalayalam</t>
        </is>
      </c>
    </row>
    <row r="32">
      <c r="A32" s="24" t="inlineStr">
        <is>
          <t>Job hunt</t>
        </is>
      </c>
      <c r="B32" s="24" t="inlineStr">
        <is>
          <t>Job board</t>
        </is>
      </c>
      <c r="C32" s="24" t="inlineStr">
        <is>
          <t>Infopark job board</t>
        </is>
      </c>
      <c r="D32" s="24" t="inlineStr">
        <is>
          <t>The primary source for Kochi openings — freshers included. Check every Monday.</t>
        </is>
      </c>
      <c r="E32" s="24" t="inlineStr">
        <is>
          <t>https://infopark.in/companies-job</t>
        </is>
      </c>
    </row>
    <row r="33">
      <c r="A33" s="24" t="inlineStr">
        <is>
          <t>Job hunt</t>
        </is>
      </c>
      <c r="B33" s="24" t="inlineStr">
        <is>
          <t>Job board</t>
        </is>
      </c>
      <c r="C33" s="24" t="inlineStr">
        <is>
          <t>Technopark Trivandrum</t>
        </is>
      </c>
      <c r="D33" s="24" t="inlineStr">
        <is>
          <t>Park companies + careers pages; follow each company's LinkedIn too.</t>
        </is>
      </c>
      <c r="E33" s="24" t="inlineStr">
        <is>
          <t>https://www.technopark.org</t>
        </is>
      </c>
    </row>
    <row r="34">
      <c r="A34" s="24" t="inlineStr">
        <is>
          <t>Job hunt</t>
        </is>
      </c>
      <c r="B34" s="24" t="inlineStr">
        <is>
          <t>Job board</t>
        </is>
      </c>
      <c r="C34" s="24" t="inlineStr">
        <is>
          <t>Naukri</t>
        </is>
      </c>
      <c r="D34" s="24" t="inlineStr">
        <is>
          <t>Largest volume. Set alerts: 'MERN fresher Kochi', 'React developer Trivandrum'.</t>
        </is>
      </c>
      <c r="E34" s="24" t="inlineStr">
        <is>
          <t>https://www.naukri.com</t>
        </is>
      </c>
    </row>
    <row r="35">
      <c r="A35" s="24" t="inlineStr">
        <is>
          <t>Job hunt</t>
        </is>
      </c>
      <c r="B35" s="24" t="inlineStr">
        <is>
          <t>Job board</t>
        </is>
      </c>
      <c r="C35" s="24" t="inlineStr">
        <is>
          <t>LinkedIn Jobs</t>
        </is>
      </c>
      <c r="D35" s="24" t="inlineStr">
        <is>
          <t>Best for referrals + recruiter DMs. Filter 'Entry level' + 'Kerala'.</t>
        </is>
      </c>
      <c r="E35" s="24" t="inlineStr">
        <is>
          <t>https://www.linkedin.com/jobs</t>
        </is>
      </c>
    </row>
    <row r="36">
      <c r="A36" s="24" t="inlineStr">
        <is>
          <t>Job hunt</t>
        </is>
      </c>
      <c r="B36" s="24" t="inlineStr">
        <is>
          <t>Job board</t>
        </is>
      </c>
      <c r="C36" s="24" t="inlineStr">
        <is>
          <t>foundit (Monster India)</t>
        </is>
      </c>
      <c r="D36" s="24" t="inlineStr">
        <is>
          <t>Good for Technopark/Infopark fresher listings.</t>
        </is>
      </c>
      <c r="E36" s="24" t="inlineStr">
        <is>
          <t>https://www.foundit.in</t>
        </is>
      </c>
    </row>
    <row r="37">
      <c r="A37" s="24" t="inlineStr">
        <is>
          <t>Job hunt</t>
        </is>
      </c>
      <c r="B37" s="24" t="inlineStr">
        <is>
          <t>Job board</t>
        </is>
      </c>
      <c r="C37" s="24" t="inlineStr">
        <is>
          <t>Indeed India</t>
        </is>
      </c>
      <c r="D37" s="24" t="inlineStr">
        <is>
          <t>Volume + salary signals. Watch for fake consultancies.</t>
        </is>
      </c>
      <c r="E37" s="24" t="inlineStr">
        <is>
          <t>https://in.indeed.com</t>
        </is>
      </c>
    </row>
    <row r="38">
      <c r="A38" s="24" t="inlineStr">
        <is>
          <t>Job hunt</t>
        </is>
      </c>
      <c r="B38" s="24" t="inlineStr">
        <is>
          <t>Job board</t>
        </is>
      </c>
      <c r="C38" s="24" t="inlineStr">
        <is>
          <t>Instahyre</t>
        </is>
      </c>
      <c r="D38" s="24" t="inlineStr">
        <is>
          <t>Curated product-company roles; good for Bengaluru remote.</t>
        </is>
      </c>
      <c r="E38" s="24" t="inlineStr">
        <is>
          <t>https://www.instahyre.com</t>
        </is>
      </c>
    </row>
    <row r="39">
      <c r="A39" s="24" t="inlineStr">
        <is>
          <t>Job hunt</t>
        </is>
      </c>
      <c r="B39" s="24" t="inlineStr">
        <is>
          <t>Job board</t>
        </is>
      </c>
      <c r="C39" s="24" t="inlineStr">
        <is>
          <t>Cutshort</t>
        </is>
      </c>
      <c r="D39" s="24" t="inlineStr">
        <is>
          <t>Startup roles across India, often remote-friendly.</t>
        </is>
      </c>
      <c r="E39" s="24" t="inlineStr">
        <is>
          <t>https://cutshort.io</t>
        </is>
      </c>
    </row>
    <row r="40">
      <c r="A40" s="24" t="inlineStr">
        <is>
          <t>Job hunt</t>
        </is>
      </c>
      <c r="B40" s="24" t="inlineStr">
        <is>
          <t>Job board</t>
        </is>
      </c>
      <c r="C40" s="24" t="inlineStr">
        <is>
          <t>Wellfound</t>
        </is>
      </c>
      <c r="D40" s="24" t="inlineStr">
        <is>
          <t>Startup jobs; equity + remote options.</t>
        </is>
      </c>
      <c r="E40" s="24" t="inlineStr">
        <is>
          <t>https://wellfound.com</t>
        </is>
      </c>
    </row>
    <row r="41">
      <c r="A41" s="24" t="inlineStr">
        <is>
          <t>Job hunt</t>
        </is>
      </c>
      <c r="B41" s="24" t="inlineStr">
        <is>
          <t>Job board</t>
        </is>
      </c>
      <c r="C41" s="24" t="inlineStr">
        <is>
          <t>Hirist</t>
        </is>
      </c>
      <c r="D41" s="24" t="inlineStr">
        <is>
          <t>Tech-only job board, decent fresher filters.</t>
        </is>
      </c>
      <c r="E41" s="24" t="inlineStr">
        <is>
          <t>https://www.hirist.tech</t>
        </is>
      </c>
    </row>
    <row r="42">
      <c r="A42" s="24" t="inlineStr">
        <is>
          <t>Job hunt</t>
        </is>
      </c>
      <c r="B42" s="24" t="inlineStr">
        <is>
          <t>Job board</t>
        </is>
      </c>
      <c r="C42" s="24" t="inlineStr">
        <is>
          <t>Internshala</t>
        </is>
      </c>
      <c r="D42" s="24" t="inlineStr">
        <is>
          <t>Convert an internship into a full-time offer — you're already an intern.</t>
        </is>
      </c>
      <c r="E42" s="24" t="inlineStr">
        <is>
          <t>https://internshala.com</t>
        </is>
      </c>
    </row>
    <row r="43">
      <c r="A43" s="24" t="inlineStr">
        <is>
          <t>Job hunt</t>
        </is>
      </c>
      <c r="B43" s="24" t="inlineStr">
        <is>
          <t>Job board</t>
        </is>
      </c>
      <c r="C43" s="24" t="inlineStr">
        <is>
          <t>Kerala Startup Mission</t>
        </is>
      </c>
      <c r="D43" s="24" t="inlineStr">
        <is>
          <t>Kerala startup ecosystem; many early-stage teams hire via networks.</t>
        </is>
      </c>
      <c r="E43" s="24" t="inlineStr">
        <is>
          <t>https://startupmission.kerala.gov.in</t>
        </is>
      </c>
    </row>
    <row r="44">
      <c r="A44" s="24" t="inlineStr">
        <is>
          <t>Cheat sheet</t>
        </is>
      </c>
      <c r="B44" s="24" t="inlineStr">
        <is>
          <t>PDF</t>
        </is>
      </c>
      <c r="C44" s="24" t="inlineStr">
        <is>
          <t>VS Code keyboard shortcuts (official PDF)</t>
        </is>
      </c>
      <c r="D44" s="24" t="inlineStr">
        <is>
          <t>Print it. Stick it on your wall.</t>
        </is>
      </c>
      <c r="E44" s="24" t="inlineStr">
        <is>
          <t>https://code.visualstudio.com/shortcuts/keyboard-shortcuts-windows.pdf</t>
        </is>
      </c>
    </row>
    <row r="45">
      <c r="A45" s="24" t="inlineStr">
        <is>
          <t>Cheat sheet</t>
        </is>
      </c>
      <c r="B45" s="24" t="inlineStr">
        <is>
          <t>PDF</t>
        </is>
      </c>
      <c r="C45" s="24" t="inlineStr">
        <is>
          <t>GitHub Git cheat sheet (official PDF)</t>
        </is>
      </c>
      <c r="D45" s="24" t="inlineStr">
        <is>
          <t>Every command you need for the first year.</t>
        </is>
      </c>
      <c r="E45" s="24" t="inlineStr">
        <is>
          <t>https://education.github.com/git-cheat-sheet-education.pdf</t>
        </is>
      </c>
    </row>
    <row r="46">
      <c r="A46" s="24" t="inlineStr">
        <is>
          <t>Cheat sheet</t>
        </is>
      </c>
      <c r="B46" s="24" t="inlineStr">
        <is>
          <t>PDF</t>
        </is>
      </c>
      <c r="C46" s="24" t="inlineStr">
        <is>
          <t>Docker CLI cheat sheet (official PDF)</t>
        </is>
      </c>
      <c r="D46" s="24" t="inlineStr">
        <is>
          <t>For Season 6 deployment week.</t>
        </is>
      </c>
      <c r="E46" s="24" t="inlineStr">
        <is>
          <t>https://docs.docker.com/get-started/docker_cheatsheet.pdf</t>
        </is>
      </c>
    </row>
    <row r="47">
      <c r="A47" s="24" t="inlineStr">
        <is>
          <t>Cheat sheet</t>
        </is>
      </c>
      <c r="B47" s="24" t="inlineStr">
        <is>
          <t>Web</t>
        </is>
      </c>
      <c r="C47" s="24" t="inlineStr">
        <is>
          <t>Chrome DevTools shortcuts</t>
        </is>
      </c>
      <c r="D47" s="24" t="inlineStr">
        <is>
          <t>Learn Ctrl+Shift+C and Ctrl+Shift+P first.</t>
        </is>
      </c>
      <c r="E47" s="24" t="inlineStr">
        <is>
          <t>https://developer.chrome.com/docs/devtools/shortcuts</t>
        </is>
      </c>
    </row>
    <row r="48">
      <c r="A48" s="24" t="inlineStr">
        <is>
          <t>Cheat sheet</t>
        </is>
      </c>
      <c r="B48" s="24" t="inlineStr">
        <is>
          <t>Web</t>
        </is>
      </c>
      <c r="C48" s="24" t="inlineStr">
        <is>
          <t>MDN JavaScript reference</t>
        </is>
      </c>
      <c r="D48" s="24" t="inlineStr">
        <is>
          <t>The only JS docs you should trust.</t>
        </is>
      </c>
      <c r="E48" s="24" t="inlineStr">
        <is>
          <t>https://developer.mozilla.org/en-US/docs/Web/JavaScript/Reference</t>
        </is>
      </c>
    </row>
    <row r="49">
      <c r="A49" s="24" t="inlineStr">
        <is>
          <t>Cheat sheet</t>
        </is>
      </c>
      <c r="B49" s="24" t="inlineStr">
        <is>
          <t>Web</t>
        </is>
      </c>
      <c r="C49" s="24" t="inlineStr">
        <is>
          <t>React official docs</t>
        </is>
      </c>
      <c r="D49" s="24" t="inlineStr">
        <is>
          <t>Read 'Thinking in React' twice.</t>
        </is>
      </c>
      <c r="E49" s="24" t="inlineStr">
        <is>
          <t>https://react.dev/learn</t>
        </is>
      </c>
    </row>
    <row r="50">
      <c r="A50" s="24" t="inlineStr">
        <is>
          <t>Cheat sheet</t>
        </is>
      </c>
      <c r="B50" s="24" t="inlineStr">
        <is>
          <t>Web</t>
        </is>
      </c>
      <c r="C50" s="24" t="inlineStr">
        <is>
          <t>Node.js learn</t>
        </is>
      </c>
      <c r="D50" s="24" t="inlineStr">
        <is>
          <t>Event loop + modules sections.</t>
        </is>
      </c>
      <c r="E50" s="24" t="inlineStr">
        <is>
          <t>https://nodejs.org/en/learn</t>
        </is>
      </c>
    </row>
    <row r="51">
      <c r="A51" s="24" t="inlineStr">
        <is>
          <t>Cheat sheet</t>
        </is>
      </c>
      <c r="B51" s="24" t="inlineStr">
        <is>
          <t>Web</t>
        </is>
      </c>
      <c r="C51" s="24" t="inlineStr">
        <is>
          <t>SQL quick reference</t>
        </is>
      </c>
      <c r="D51" s="24" t="inlineStr">
        <is>
          <t>Bookmark for Season 5.</t>
        </is>
      </c>
      <c r="E51" s="24" t="inlineStr">
        <is>
          <t>https://www.w3schools.com/sql/sql_quickref.asp</t>
        </is>
      </c>
    </row>
    <row r="52">
      <c r="A52" s="24" t="inlineStr">
        <is>
          <t>Cheat sheet</t>
        </is>
      </c>
      <c r="B52" s="24" t="inlineStr">
        <is>
          <t>Web</t>
        </is>
      </c>
      <c r="C52" s="24" t="inlineStr">
        <is>
          <t>Power BI keyboard shortcuts</t>
        </is>
      </c>
      <c r="D52" s="24" t="inlineStr">
        <is>
          <t>Speeds up dashboard building.</t>
        </is>
      </c>
      <c r="E52" s="24" t="inlineStr">
        <is>
          <t>https://learn.microsoft.com/en-us/power-bi/create-reports/desktop-keyboard-shortcuts</t>
        </is>
      </c>
    </row>
    <row r="53">
      <c r="A53" s="24" t="inlineStr">
        <is>
          <t>Cheat sheet</t>
        </is>
      </c>
      <c r="B53" s="24" t="inlineStr">
        <is>
          <t>Web</t>
        </is>
      </c>
      <c r="C53" s="24" t="inlineStr">
        <is>
          <t>Markdown cheat sheet</t>
        </is>
      </c>
      <c r="D53" s="24" t="inlineStr">
        <is>
          <t>For READMEs that actually look good.</t>
        </is>
      </c>
      <c r="E53" s="24" t="inlineStr">
        <is>
          <t>https://www.markdownguide.org/cheat-sheet/</t>
        </is>
      </c>
    </row>
    <row r="54">
      <c r="A54" s="24" t="inlineStr">
        <is>
          <t>Cheat sheet</t>
        </is>
      </c>
      <c r="B54" s="24" t="inlineStr">
        <is>
          <t>Web</t>
        </is>
      </c>
      <c r="C54" s="24" t="inlineStr">
        <is>
          <t>DevDocs (offline docs)</t>
        </is>
      </c>
      <c r="D54" s="24" t="inlineStr">
        <is>
          <t>All docs in one search bar, works offline.</t>
        </is>
      </c>
      <c r="E54" s="24" t="inlineStr">
        <is>
          <t>https://devdocs.io</t>
        </is>
      </c>
    </row>
    <row r="55">
      <c r="A55" s="24" t="inlineStr">
        <is>
          <t>Cheat sheet</t>
        </is>
      </c>
      <c r="B55" s="24" t="inlineStr">
        <is>
          <t>Web</t>
        </is>
      </c>
      <c r="C55" s="24" t="inlineStr">
        <is>
          <t>regex101</t>
        </is>
      </c>
      <c r="D55" s="24" t="inlineStr">
        <is>
          <t>Test regex with explanations.</t>
        </is>
      </c>
      <c r="E55" s="24" t="inlineStr">
        <is>
          <t>https://regex101.com</t>
        </is>
      </c>
    </row>
    <row r="56">
      <c r="A56" s="24" t="inlineStr">
        <is>
          <t>Cheat sheet</t>
        </is>
      </c>
      <c r="B56" s="24" t="inlineStr">
        <is>
          <t>Web</t>
        </is>
      </c>
      <c r="C56" s="24" t="inlineStr">
        <is>
          <t>Can I Use</t>
        </is>
      </c>
      <c r="D56" s="24" t="inlineStr">
        <is>
          <t>Before using any new CSS feature at work.</t>
        </is>
      </c>
      <c r="E56" s="24" t="inlineStr">
        <is>
          <t>https://caniuse.com</t>
        </is>
      </c>
    </row>
    <row r="57">
      <c r="A57" s="24" t="inlineStr">
        <is>
          <t>Cheat sheet</t>
        </is>
      </c>
      <c r="B57" s="24" t="inlineStr">
        <is>
          <t>Web</t>
        </is>
      </c>
      <c r="C57" s="24" t="inlineStr">
        <is>
          <t>Full-stack roadmap</t>
        </is>
      </c>
      <c r="D57" s="24" t="inlineStr">
        <is>
          <t>Your map when you feel lost.</t>
        </is>
      </c>
      <c r="E57" s="24" t="inlineStr">
        <is>
          <t>https://roadmap.sh/full-stack</t>
        </is>
      </c>
    </row>
  </sheetData>
  <autoFilter ref="A3:E57"/>
  <mergeCells count="2">
    <mergeCell ref="A2:E2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</hyperlinks>
  <printOptions horizontalCentered="1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7C5CFF"/>
    <outlinePr summaryBelow="1" summaryRight="1"/>
    <pageSetUpPr fitToPage="1"/>
  </sheetPr>
  <dimension ref="A1:F57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72" customWidth="1" min="3" max="3"/>
  </cols>
  <sheetData>
    <row r="1" ht="34" customHeight="1">
      <c r="A1" s="1" t="inlineStr">
        <is>
          <t>CHEAT SHEET</t>
        </is>
      </c>
    </row>
    <row r="2" ht="30" customHeight="1">
      <c r="A2" s="2" t="inlineStr">
        <is>
          <t>Print this tab (Ctrl+P) and stick it next to your monitor.</t>
        </is>
      </c>
    </row>
    <row r="4">
      <c r="B4" s="83" t="inlineStr">
        <is>
          <t>GIT — daily commands</t>
        </is>
      </c>
    </row>
    <row r="5" ht="22" customHeight="1">
      <c r="A5" s="23" t="inlineStr"/>
      <c r="B5" s="23" t="inlineStr">
        <is>
          <t>Command</t>
        </is>
      </c>
      <c r="C5" s="23" t="inlineStr">
        <is>
          <t>What it does</t>
        </is>
      </c>
    </row>
    <row r="6">
      <c r="B6" s="84" t="inlineStr">
        <is>
          <t>git init</t>
        </is>
      </c>
      <c r="C6" s="85" t="inlineStr">
        <is>
          <t>Start a repo</t>
        </is>
      </c>
    </row>
    <row r="7">
      <c r="B7" s="84" t="inlineStr">
        <is>
          <t>git status</t>
        </is>
      </c>
      <c r="C7" s="85" t="inlineStr">
        <is>
          <t>What changed?</t>
        </is>
      </c>
    </row>
    <row r="8">
      <c r="B8" s="84" t="inlineStr">
        <is>
          <t>git add .</t>
        </is>
      </c>
      <c r="C8" s="85" t="inlineStr">
        <is>
          <t>Stage everything</t>
        </is>
      </c>
    </row>
    <row r="9">
      <c r="B9" s="84" t="inlineStr">
        <is>
          <t>git commit -m "feat: add login"</t>
        </is>
      </c>
      <c r="C9" s="85" t="inlineStr">
        <is>
          <t>Commit with a meaningful message</t>
        </is>
      </c>
    </row>
    <row r="10">
      <c r="B10" s="84" t="inlineStr">
        <is>
          <t>git branch -M main</t>
        </is>
      </c>
      <c r="C10" s="85" t="inlineStr">
        <is>
          <t>Rename branch to main</t>
        </is>
      </c>
    </row>
    <row r="11">
      <c r="B11" s="84" t="inlineStr">
        <is>
          <t>git remote add origin &lt;url&gt;</t>
        </is>
      </c>
      <c r="C11" s="85" t="inlineStr">
        <is>
          <t>Connect to GitHub</t>
        </is>
      </c>
    </row>
    <row r="12">
      <c r="B12" s="84" t="inlineStr">
        <is>
          <t>git push -u origin main</t>
        </is>
      </c>
      <c r="C12" s="85" t="inlineStr">
        <is>
          <t>First push</t>
        </is>
      </c>
    </row>
    <row r="13">
      <c r="B13" s="84" t="inlineStr">
        <is>
          <t>git checkout -b feature/auth</t>
        </is>
      </c>
      <c r="C13" s="85" t="inlineStr">
        <is>
          <t>New branch</t>
        </is>
      </c>
    </row>
    <row r="14">
      <c r="B14" s="84" t="inlineStr">
        <is>
          <t>git merge feature/auth</t>
        </is>
      </c>
      <c r="C14" s="85" t="inlineStr">
        <is>
          <t>Merge into current branch</t>
        </is>
      </c>
    </row>
    <row r="15">
      <c r="B15" s="84" t="inlineStr">
        <is>
          <t>git pull --rebase</t>
        </is>
      </c>
      <c r="C15" s="85" t="inlineStr">
        <is>
          <t>Sync cleanly</t>
        </is>
      </c>
    </row>
    <row r="16">
      <c r="B16" s="84" t="inlineStr">
        <is>
          <t>git stash / git stash pop</t>
        </is>
      </c>
      <c r="C16" s="85" t="inlineStr">
        <is>
          <t>Park work temporarily</t>
        </is>
      </c>
    </row>
    <row r="17">
      <c r="B17" s="84" t="inlineStr">
        <is>
          <t>git log --oneline --graph</t>
        </is>
      </c>
      <c r="C17" s="85" t="inlineStr">
        <is>
          <t>See history visually</t>
        </is>
      </c>
    </row>
    <row r="18">
      <c r="B18" s="84" t="inlineStr">
        <is>
          <t>git reset --hard HEAD~1</t>
        </is>
      </c>
      <c r="C18" s="85" t="inlineStr">
        <is>
          <t>Undo last commit (careful)</t>
        </is>
      </c>
    </row>
    <row r="19">
      <c r="B19" s="84" t="inlineStr">
        <is>
          <t>git clone &lt;url&gt;</t>
        </is>
      </c>
      <c r="C19" s="85" t="inlineStr">
        <is>
          <t>Copy a repo locally</t>
        </is>
      </c>
    </row>
    <row r="21">
      <c r="B21" s="83" t="inlineStr">
        <is>
          <t>VS CODE — 15 shortcuts</t>
        </is>
      </c>
    </row>
    <row r="22" ht="22" customHeight="1">
      <c r="A22" s="23" t="inlineStr"/>
      <c r="B22" s="23" t="inlineStr">
        <is>
          <t>Shortcut</t>
        </is>
      </c>
      <c r="C22" s="23" t="inlineStr">
        <is>
          <t>Action</t>
        </is>
      </c>
    </row>
    <row r="23">
      <c r="B23" s="86" t="inlineStr">
        <is>
          <t>Ctrl + P</t>
        </is>
      </c>
      <c r="C23" s="85" t="inlineStr">
        <is>
          <t>Quick open file</t>
        </is>
      </c>
    </row>
    <row r="24">
      <c r="B24" s="86" t="inlineStr">
        <is>
          <t>Ctrl + Shift + P</t>
        </is>
      </c>
      <c r="C24" s="85" t="inlineStr">
        <is>
          <t>Command palette (the cheat code for everything)</t>
        </is>
      </c>
    </row>
    <row r="25">
      <c r="B25" s="86" t="inlineStr">
        <is>
          <t>Ctrl + `</t>
        </is>
      </c>
      <c r="C25" s="85" t="inlineStr">
        <is>
          <t>Toggle terminal</t>
        </is>
      </c>
    </row>
    <row r="26">
      <c r="B26" s="86" t="inlineStr">
        <is>
          <t>Ctrl + B</t>
        </is>
      </c>
      <c r="C26" s="85" t="inlineStr">
        <is>
          <t>Toggle sidebar</t>
        </is>
      </c>
    </row>
    <row r="27">
      <c r="B27" s="86" t="inlineStr">
        <is>
          <t>Ctrl + D</t>
        </is>
      </c>
      <c r="C27" s="85" t="inlineStr">
        <is>
          <t>Select next occurrence (multi-cursor)</t>
        </is>
      </c>
    </row>
    <row r="28">
      <c r="B28" s="86" t="inlineStr">
        <is>
          <t>Ctrl + Shift + L</t>
        </is>
      </c>
      <c r="C28" s="85" t="inlineStr">
        <is>
          <t>Select all occurrences</t>
        </is>
      </c>
    </row>
    <row r="29">
      <c r="B29" s="86" t="inlineStr">
        <is>
          <t>Alt + ↑ / ↓</t>
        </is>
      </c>
      <c r="C29" s="85" t="inlineStr">
        <is>
          <t>Move line up / down</t>
        </is>
      </c>
    </row>
    <row r="30">
      <c r="B30" s="86" t="inlineStr">
        <is>
          <t>Shift + Alt + ↓</t>
        </is>
      </c>
      <c r="C30" s="85" t="inlineStr">
        <is>
          <t>Duplicate line</t>
        </is>
      </c>
    </row>
    <row r="31">
      <c r="B31" s="86" t="inlineStr">
        <is>
          <t>Ctrl + Shift + K</t>
        </is>
      </c>
      <c r="C31" s="85" t="inlineStr">
        <is>
          <t>Delete line</t>
        </is>
      </c>
    </row>
    <row r="32">
      <c r="B32" s="86" t="inlineStr">
        <is>
          <t>F2</t>
        </is>
      </c>
      <c r="C32" s="85" t="inlineStr">
        <is>
          <t>Rename symbol everywhere</t>
        </is>
      </c>
    </row>
    <row r="33">
      <c r="B33" s="86" t="inlineStr">
        <is>
          <t>Ctrl + /</t>
        </is>
      </c>
      <c r="C33" s="85" t="inlineStr">
        <is>
          <t>Toggle comment</t>
        </is>
      </c>
    </row>
    <row r="34">
      <c r="B34" s="86" t="inlineStr">
        <is>
          <t>Ctrl + Shift + F</t>
        </is>
      </c>
      <c r="C34" s="85" t="inlineStr">
        <is>
          <t>Search across files</t>
        </is>
      </c>
    </row>
    <row r="35">
      <c r="B35" s="86" t="inlineStr">
        <is>
          <t>Ctrl + G</t>
        </is>
      </c>
      <c r="C35" s="85" t="inlineStr">
        <is>
          <t>Go to line</t>
        </is>
      </c>
    </row>
    <row r="36">
      <c r="B36" s="86" t="inlineStr">
        <is>
          <t>Ctrl + K, Ctrl + 0</t>
        </is>
      </c>
      <c r="C36" s="85" t="inlineStr">
        <is>
          <t>Fold all</t>
        </is>
      </c>
    </row>
    <row r="37">
      <c r="B37" s="86" t="inlineStr">
        <is>
          <t>Ctrl + Shift + V</t>
        </is>
      </c>
      <c r="C37" s="85" t="inlineStr">
        <is>
          <t>Markdown preview</t>
        </is>
      </c>
    </row>
    <row r="39">
      <c r="B39" s="83" t="inlineStr">
        <is>
          <t>JAVASCRIPT — array &amp; object methods</t>
        </is>
      </c>
    </row>
    <row r="40" ht="22" customHeight="1">
      <c r="A40" s="23" t="inlineStr"/>
      <c r="B40" s="23" t="inlineStr">
        <is>
          <t>Method</t>
        </is>
      </c>
      <c r="C40" s="23" t="inlineStr">
        <is>
          <t>What it does</t>
        </is>
      </c>
    </row>
    <row r="41">
      <c r="B41" s="84" t="inlineStr">
        <is>
          <t>map()</t>
        </is>
      </c>
      <c r="C41" s="85" t="inlineStr">
        <is>
          <t>Transform every item → new array</t>
        </is>
      </c>
    </row>
    <row r="42">
      <c r="B42" s="84" t="inlineStr">
        <is>
          <t>filter()</t>
        </is>
      </c>
      <c r="C42" s="85" t="inlineStr">
        <is>
          <t>Keep items that pass a test</t>
        </is>
      </c>
    </row>
    <row r="43">
      <c r="B43" s="84" t="inlineStr">
        <is>
          <t>reduce()</t>
        </is>
      </c>
      <c r="C43" s="85" t="inlineStr">
        <is>
          <t>Boil an array down to one value</t>
        </is>
      </c>
    </row>
    <row r="44">
      <c r="B44" s="84" t="inlineStr">
        <is>
          <t>find()</t>
        </is>
      </c>
      <c r="C44" s="85" t="inlineStr">
        <is>
          <t>First matching item</t>
        </is>
      </c>
    </row>
    <row r="45">
      <c r="B45" s="84" t="inlineStr">
        <is>
          <t>some() / every()</t>
        </is>
      </c>
      <c r="C45" s="85" t="inlineStr">
        <is>
          <t>Any match? / All match?</t>
        </is>
      </c>
    </row>
    <row r="46">
      <c r="B46" s="84" t="inlineStr">
        <is>
          <t>sort()</t>
        </is>
      </c>
      <c r="C46" s="85" t="inlineStr">
        <is>
          <t>Sort (mutates — copy first)</t>
        </is>
      </c>
    </row>
    <row r="47">
      <c r="B47" s="84" t="inlineStr">
        <is>
          <t>flatMap()</t>
        </is>
      </c>
      <c r="C47" s="85" t="inlineStr">
        <is>
          <t>Map + flatten one level</t>
        </is>
      </c>
    </row>
    <row r="48">
      <c r="B48" s="84" t="inlineStr">
        <is>
          <t>Object.entries()</t>
        </is>
      </c>
      <c r="C48" s="85" t="inlineStr">
        <is>
          <t>Object → [key, value] pairs</t>
        </is>
      </c>
    </row>
    <row r="49">
      <c r="B49" s="84" t="inlineStr">
        <is>
          <t>Object.fromEntries()</t>
        </is>
      </c>
      <c r="C49" s="85" t="inlineStr">
        <is>
          <t>Pairs → object</t>
        </is>
      </c>
    </row>
    <row r="50">
      <c r="B50" s="84" t="inlineStr">
        <is>
          <t>Array.from()</t>
        </is>
      </c>
      <c r="C50" s="85" t="inlineStr">
        <is>
          <t>Convert iterable to array</t>
        </is>
      </c>
    </row>
    <row r="51">
      <c r="B51" s="84" t="inlineStr">
        <is>
          <t>at(-1)</t>
        </is>
      </c>
      <c r="C51" s="85" t="inlineStr">
        <is>
          <t>Last element without .length - 1</t>
        </is>
      </c>
    </row>
    <row r="52">
      <c r="B52" s="84" t="inlineStr">
        <is>
          <t>structuredClone()</t>
        </is>
      </c>
      <c r="C52" s="85" t="inlineStr">
        <is>
          <t>Real deep copy (modern browsers)</t>
        </is>
      </c>
    </row>
    <row r="54">
      <c r="B54" s="83" t="inlineStr">
        <is>
          <t>POWER-UPS — PDF cheat sheets</t>
        </is>
      </c>
    </row>
    <row r="55">
      <c r="B55" s="87" t="inlineStr">
        <is>
          <t>VS Code keyboard shortcuts (official PDF)</t>
        </is>
      </c>
      <c r="C55" s="88" t="inlineStr">
        <is>
          <t>https://code.visualstudio.com/shortcuts/keyboard-shortcuts-windows.pdf</t>
        </is>
      </c>
    </row>
    <row r="56">
      <c r="B56" s="87" t="inlineStr">
        <is>
          <t>GitHub Git cheat sheet (official PDF)</t>
        </is>
      </c>
      <c r="C56" s="88" t="inlineStr">
        <is>
          <t>https://education.github.com/git-cheat-sheet-education.pdf</t>
        </is>
      </c>
    </row>
    <row r="57">
      <c r="B57" s="87" t="inlineStr">
        <is>
          <t>Docker CLI cheat sheet (official PDF)</t>
        </is>
      </c>
      <c r="C57" s="88" t="inlineStr">
        <is>
          <t>https://docs.docker.com/get-started/docker_cheatsheet.pdf</t>
        </is>
      </c>
    </row>
  </sheetData>
  <mergeCells count="2">
    <mergeCell ref="A2:F2"/>
    <mergeCell ref="A1:F1"/>
  </mergeCells>
  <hyperlinks>
    <hyperlink xmlns:r="http://schemas.openxmlformats.org/officeDocument/2006/relationships" ref="B55" r:id="rId1"/>
    <hyperlink xmlns:r="http://schemas.openxmlformats.org/officeDocument/2006/relationships" ref="B56" r:id="rId2"/>
    <hyperlink xmlns:r="http://schemas.openxmlformats.org/officeDocument/2006/relationships" ref="B57" r:id="rId3"/>
  </hyperlinks>
  <printOptions horizontalCentered="1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B98A00"/>
    <outlinePr summaryBelow="1" summaryRight="1"/>
    <pageSetUpPr fitToPage="1"/>
  </sheetPr>
  <dimension ref="A1:G2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10" customWidth="1" min="4" max="4"/>
    <col width="10" customWidth="1" min="5" max="5"/>
    <col width="32" customWidth="1" min="6" max="6"/>
    <col width="28" customWidth="1" min="7" max="7"/>
  </cols>
  <sheetData>
    <row r="1" ht="34" customHeight="1">
      <c r="A1" s="1" t="inlineStr">
        <is>
          <t>SKILLS MATRIX</t>
        </is>
      </c>
    </row>
    <row r="2" ht="30" customHeight="1">
      <c r="A2" s="2" t="inlineStr">
        <is>
          <t>Rate yourself 1–5 now and set a target. Evidence = the project or link that proves it.</t>
        </is>
      </c>
    </row>
    <row r="3" ht="28" customHeight="1">
      <c r="A3" s="23" t="inlineStr">
        <is>
          <t>Skill / tool</t>
        </is>
      </c>
      <c r="B3" s="23" t="inlineStr">
        <is>
          <t>Why it matters</t>
        </is>
      </c>
      <c r="C3" s="23" t="inlineStr">
        <is>
          <t>Priority</t>
        </is>
      </c>
      <c r="D3" s="23" t="inlineStr">
        <is>
          <t>Now 1–5</t>
        </is>
      </c>
      <c r="E3" s="23" t="inlineStr">
        <is>
          <t>Target 1–5</t>
        </is>
      </c>
      <c r="F3" s="23" t="inlineStr">
        <is>
          <t>Evidence (project / link)</t>
        </is>
      </c>
      <c r="G3" s="23" t="inlineStr">
        <is>
          <t>Notes</t>
        </is>
      </c>
    </row>
    <row r="4">
      <c r="A4" s="24" t="inlineStr">
        <is>
          <t>HTML / CSS</t>
        </is>
      </c>
      <c r="B4" s="24" t="inlineStr">
        <is>
          <t>Every JD. Your foundation. Don't skip responsive + accessibility.</t>
        </is>
      </c>
      <c r="C4" s="25" t="inlineStr">
        <is>
          <t>MUST</t>
        </is>
      </c>
      <c r="D4" s="25" t="n">
        <v>1</v>
      </c>
      <c r="E4" s="25" t="n">
        <v>4</v>
      </c>
      <c r="F4" s="24" t="n"/>
      <c r="G4" s="24" t="inlineStr">
        <is>
          <t>Planned: Week 1–2</t>
        </is>
      </c>
    </row>
    <row r="5">
      <c r="A5" s="24" t="inlineStr">
        <is>
          <t>JavaScript (ES6+)</t>
        </is>
      </c>
      <c r="B5" s="24" t="inlineStr">
        <is>
          <t>The #1 interview filter in India. Closures, async, array methods.</t>
        </is>
      </c>
      <c r="C5" s="25" t="inlineStr">
        <is>
          <t>MUST</t>
        </is>
      </c>
      <c r="D5" s="25" t="n">
        <v>1</v>
      </c>
      <c r="E5" s="25" t="n">
        <v>4</v>
      </c>
      <c r="F5" s="24" t="n"/>
      <c r="G5" s="24" t="inlineStr">
        <is>
          <t>Planned: Week 3–7</t>
        </is>
      </c>
    </row>
    <row r="6">
      <c r="A6" s="24" t="inlineStr">
        <is>
          <t>React</t>
        </is>
      </c>
      <c r="B6" s="24" t="inlineStr">
        <is>
          <t>~70% of frontend JDs list React as primary framework.</t>
        </is>
      </c>
      <c r="C6" s="25" t="inlineStr">
        <is>
          <t>MUST</t>
        </is>
      </c>
      <c r="D6" s="25" t="n">
        <v>1</v>
      </c>
      <c r="E6" s="25" t="n">
        <v>4</v>
      </c>
      <c r="F6" s="24" t="n"/>
      <c r="G6" s="24" t="inlineStr">
        <is>
          <t>Planned: Week 8–11</t>
        </is>
      </c>
    </row>
    <row r="7">
      <c r="A7" s="24" t="inlineStr">
        <is>
          <t>TypeScript</t>
        </is>
      </c>
      <c r="B7" s="24" t="inlineStr">
        <is>
          <t>Expected in most new product-company codebases; +25–40% pay premium.</t>
        </is>
      </c>
      <c r="C7" s="25" t="inlineStr">
        <is>
          <t>MUST</t>
        </is>
      </c>
      <c r="D7" s="25" t="n">
        <v>1</v>
      </c>
      <c r="E7" s="25" t="n">
        <v>4</v>
      </c>
      <c r="F7" s="24" t="n"/>
      <c r="G7" s="24" t="inlineStr">
        <is>
          <t>Planned: Week 8–11</t>
        </is>
      </c>
    </row>
    <row r="8">
      <c r="A8" s="24" t="inlineStr">
        <is>
          <t>Git &amp; GitHub</t>
        </is>
      </c>
      <c r="B8" s="24" t="inlineStr">
        <is>
          <t>Non-negotiable. Your green squares are your proof of work.</t>
        </is>
      </c>
      <c r="C8" s="25" t="inlineStr">
        <is>
          <t>MUST</t>
        </is>
      </c>
      <c r="D8" s="25" t="n">
        <v>1</v>
      </c>
      <c r="E8" s="25" t="n">
        <v>4</v>
      </c>
      <c r="F8" s="24" t="n"/>
      <c r="G8" s="24" t="inlineStr">
        <is>
          <t>Planned: Week 1</t>
        </is>
      </c>
    </row>
    <row r="9">
      <c r="A9" s="24" t="inlineStr">
        <is>
          <t>Node.js + Express</t>
        </is>
      </c>
      <c r="B9" s="24" t="inlineStr">
        <is>
          <t>The 'backend' half of MERN; most common fresher full-stack stack.</t>
        </is>
      </c>
      <c r="C9" s="25" t="inlineStr">
        <is>
          <t>MUST</t>
        </is>
      </c>
      <c r="D9" s="25" t="n">
        <v>1</v>
      </c>
      <c r="E9" s="25" t="n">
        <v>4</v>
      </c>
      <c r="F9" s="24" t="n"/>
      <c r="G9" s="24" t="inlineStr">
        <is>
          <t>Planned: Week 12–16</t>
        </is>
      </c>
    </row>
    <row r="10">
      <c r="A10" s="24" t="inlineStr">
        <is>
          <t>MongoDB / Mongoose</t>
        </is>
      </c>
      <c r="B10" s="24" t="inlineStr">
        <is>
          <t>Default database for MERN projects and startups.</t>
        </is>
      </c>
      <c r="C10" s="25" t="inlineStr">
        <is>
          <t>MUST</t>
        </is>
      </c>
      <c r="D10" s="25" t="n">
        <v>1</v>
      </c>
      <c r="E10" s="25" t="n">
        <v>4</v>
      </c>
      <c r="F10" s="24" t="n"/>
      <c r="G10" s="24" t="inlineStr">
        <is>
          <t>Planned: Week 12–16</t>
        </is>
      </c>
    </row>
    <row r="11">
      <c r="A11" s="24" t="inlineStr">
        <is>
          <t>SQL (MySQL/Postgres)</t>
        </is>
      </c>
      <c r="B11" s="24" t="inlineStr">
        <is>
          <t>Half of enterprise JDs still ask for SQL. Learn joins + indexes.</t>
        </is>
      </c>
      <c r="C11" s="25" t="inlineStr">
        <is>
          <t>MUST</t>
        </is>
      </c>
      <c r="D11" s="25" t="n">
        <v>1</v>
      </c>
      <c r="E11" s="25" t="n">
        <v>4</v>
      </c>
      <c r="F11" s="24" t="n"/>
      <c r="G11" s="24" t="inlineStr">
        <is>
          <t>Planned: Week 17–18</t>
        </is>
      </c>
    </row>
    <row r="12">
      <c r="A12" s="24" t="inlineStr">
        <is>
          <t>REST APIs + Postman</t>
        </is>
      </c>
      <c r="B12" s="24" t="inlineStr">
        <is>
          <t>You will be asked to 'explain your API' in every backend round.</t>
        </is>
      </c>
      <c r="C12" s="25" t="inlineStr">
        <is>
          <t>MUST</t>
        </is>
      </c>
      <c r="D12" s="25" t="n">
        <v>1</v>
      </c>
      <c r="E12" s="25" t="n">
        <v>4</v>
      </c>
      <c r="F12" s="24" t="n"/>
      <c r="G12" s="24" t="inlineStr">
        <is>
          <t>Planned: Week 12–16</t>
        </is>
      </c>
    </row>
    <row r="13">
      <c r="A13" s="24" t="inlineStr">
        <is>
          <t>Tailwind CSS</t>
        </is>
      </c>
      <c r="B13" s="24" t="inlineStr">
        <is>
          <t>Fast UI, common in startup codebases, great for portfolio speed.</t>
        </is>
      </c>
      <c r="C13" s="25" t="inlineStr">
        <is>
          <t>SHOULD</t>
        </is>
      </c>
      <c r="D13" s="25" t="n">
        <v>1</v>
      </c>
      <c r="E13" s="25" t="n">
        <v>4</v>
      </c>
      <c r="F13" s="24" t="n"/>
      <c r="G13" s="24" t="inlineStr">
        <is>
          <t>Planned: Week 8–11</t>
        </is>
      </c>
    </row>
    <row r="14">
      <c r="A14" s="24" t="inlineStr">
        <is>
          <t>Docker</t>
        </is>
      </c>
      <c r="B14" s="24" t="inlineStr">
        <is>
          <t>20–40% salary premium skillset; small teams love devs who can ship.</t>
        </is>
      </c>
      <c r="C14" s="25" t="inlineStr">
        <is>
          <t>SHOULD</t>
        </is>
      </c>
      <c r="D14" s="25" t="n">
        <v>1</v>
      </c>
      <c r="E14" s="25" t="n">
        <v>4</v>
      </c>
      <c r="F14" s="24" t="n"/>
      <c r="G14" s="24" t="inlineStr">
        <is>
          <t>Planned: Week 19–22</t>
        </is>
      </c>
    </row>
    <row r="15">
      <c r="A15" s="24" t="inlineStr">
        <is>
          <t>Cloud deployment (Vercel/Render/AWS basics)</t>
        </is>
      </c>
      <c r="B15" s="24" t="inlineStr">
        <is>
          <t>A live URL beats a screenshot. Recruiters check.</t>
        </is>
      </c>
      <c r="C15" s="25" t="inlineStr">
        <is>
          <t>SHOULD</t>
        </is>
      </c>
      <c r="D15" s="25" t="n">
        <v>1</v>
      </c>
      <c r="E15" s="25" t="n">
        <v>4</v>
      </c>
      <c r="F15" s="24" t="n"/>
      <c r="G15" s="24" t="inlineStr">
        <is>
          <t>Planned: Week 19–22</t>
        </is>
      </c>
    </row>
    <row r="16">
      <c r="A16" s="24" t="inlineStr">
        <is>
          <t>Python + Django/Flask</t>
        </is>
      </c>
      <c r="B16" s="24" t="inlineStr">
        <is>
          <t>Kerala JDs frequently ask Python full-stack. A local edge for you.</t>
        </is>
      </c>
      <c r="C16" s="25" t="inlineStr">
        <is>
          <t>SHOULD</t>
        </is>
      </c>
      <c r="D16" s="25" t="n">
        <v>1</v>
      </c>
      <c r="E16" s="25" t="n">
        <v>4</v>
      </c>
      <c r="F16" s="24" t="n"/>
      <c r="G16" s="24" t="inlineStr">
        <is>
          <t>Planned: Week 17–18</t>
        </is>
      </c>
    </row>
    <row r="17">
      <c r="A17" s="24" t="inlineStr">
        <is>
          <t>Testing (Jest basics)</t>
        </is>
      </c>
      <c r="B17" s="24" t="inlineStr">
        <is>
          <t>Nice differentiator for product companies; not all fresher JDs require it.</t>
        </is>
      </c>
      <c r="C17" s="25" t="inlineStr">
        <is>
          <t>SHOULD</t>
        </is>
      </c>
      <c r="D17" s="25" t="n">
        <v>1</v>
      </c>
      <c r="E17" s="25" t="n">
        <v>4</v>
      </c>
      <c r="F17" s="24" t="n"/>
      <c r="G17" s="24" t="inlineStr">
        <is>
          <t>Planned: After core</t>
        </is>
      </c>
    </row>
    <row r="18">
      <c r="A18" s="24" t="inlineStr">
        <is>
          <t>Power BI</t>
        </is>
      </c>
      <c r="B18" s="24" t="inlineStr">
        <is>
          <t>Differentiator for data-adjacent and service-company roles.</t>
        </is>
      </c>
      <c r="C18" s="25" t="inlineStr">
        <is>
          <t>BONUS</t>
        </is>
      </c>
      <c r="D18" s="25" t="n">
        <v>1</v>
      </c>
      <c r="E18" s="25" t="n">
        <v>4</v>
      </c>
      <c r="F18" s="24" t="n"/>
      <c r="G18" s="24" t="inlineStr">
        <is>
          <t>Planned: Week 23–24</t>
        </is>
      </c>
    </row>
    <row r="19">
      <c r="A19" s="24" t="inlineStr">
        <is>
          <t>Next.js</t>
        </is>
      </c>
      <c r="B19" s="24" t="inlineStr">
        <is>
          <t>Growing fast in 2026 JDs; learn after React, not before.</t>
        </is>
      </c>
      <c r="C19" s="25" t="inlineStr">
        <is>
          <t>BONUS</t>
        </is>
      </c>
      <c r="D19" s="25" t="n">
        <v>1</v>
      </c>
      <c r="E19" s="25" t="n">
        <v>4</v>
      </c>
      <c r="F19" s="24" t="n"/>
      <c r="G19" s="24" t="inlineStr">
        <is>
          <t>Planned: After core</t>
        </is>
      </c>
    </row>
    <row r="20">
      <c r="A20" s="24" t="inlineStr">
        <is>
          <t>Java + Spring Boot</t>
        </is>
      </c>
      <c r="B20" s="24" t="inlineStr">
        <is>
          <t>Very common in Kerala enterprise/Infopark JDs — but learn after you're employable.</t>
        </is>
      </c>
      <c r="C20" s="25" t="inlineStr">
        <is>
          <t>LATER</t>
        </is>
      </c>
      <c r="D20" s="25" t="n">
        <v>1</v>
      </c>
      <c r="E20" s="25" t="n">
        <v>4</v>
      </c>
      <c r="F20" s="24" t="n"/>
      <c r="G20" s="24" t="inlineStr">
        <is>
          <t>Planned: Year 2</t>
        </is>
      </c>
    </row>
    <row r="21">
      <c r="A21" s="24" t="inlineStr">
        <is>
          <t>Kubernetes</t>
        </is>
      </c>
      <c r="B21" s="24" t="inlineStr">
        <is>
          <t>Not a fresher requirement. Ignore for now.</t>
        </is>
      </c>
      <c r="C21" s="25" t="inlineStr">
        <is>
          <t>LATER</t>
        </is>
      </c>
      <c r="D21" s="25" t="n">
        <v>1</v>
      </c>
      <c r="E21" s="25" t="n">
        <v>4</v>
      </c>
      <c r="F21" s="24" t="n"/>
      <c r="G21" s="24" t="inlineStr">
        <is>
          <t>Planned: Year 2+</t>
        </is>
      </c>
    </row>
  </sheetData>
  <mergeCells count="2">
    <mergeCell ref="A2:G2"/>
    <mergeCell ref="A1:G1"/>
  </mergeCells>
  <conditionalFormatting sqref="C4:C21">
    <cfRule type="cellIs" priority="1" operator="equal" dxfId="12">
      <formula>"MUST"</formula>
    </cfRule>
    <cfRule type="cellIs" priority="2" operator="equal" dxfId="13">
      <formula>"SHOULD"</formula>
    </cfRule>
    <cfRule type="cellIs" priority="3" operator="equal" dxfId="6">
      <formula>"BONUS"</formula>
    </cfRule>
    <cfRule type="cellIs" priority="4" operator="equal" dxfId="14">
      <formula>"LATER"</formula>
    </cfRule>
  </conditionalFormatting>
  <dataValidations count="2">
    <dataValidation sqref="C4:C21" showDropDown="0" showInputMessage="0" showErrorMessage="0" allowBlank="1" type="list">
      <formula1>"MUST,SHOULD,BONUS,LATER"</formula1>
    </dataValidation>
    <dataValidation sqref="D4:E21" showDropDown="0" showInputMessage="0" showErrorMessage="0" allowBlank="1" type="whole" operator="between">
      <formula1>1</formula1>
      <formula2>5</formula2>
    </dataValidation>
  </dataValidations>
  <printOptions horizontalCentered="1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B20"/>
  <sheetViews>
    <sheetView zoomScale="90" workbookViewId="0">
      <selection activeCell="A1" sqref="A1"/>
    </sheetView>
  </sheetViews>
  <sheetFormatPr baseColWidth="8" defaultRowHeight="15"/>
  <sheetData>
    <row r="2">
      <c r="A2" t="inlineStr">
        <is>
          <t>Arrays &amp; running sum</t>
        </is>
      </c>
      <c r="B2" t="inlineStr">
        <is>
          <t>LeetCode</t>
        </is>
      </c>
    </row>
    <row r="3">
      <c r="A3" t="inlineStr">
        <is>
          <t>Strings &amp; frequency counting</t>
        </is>
      </c>
      <c r="B3" t="inlineStr">
        <is>
          <t>HackerRank</t>
        </is>
      </c>
    </row>
    <row r="4">
      <c r="A4" t="inlineStr">
        <is>
          <t>Hashing (maps/sets) patterns</t>
        </is>
      </c>
      <c r="B4" t="inlineStr">
        <is>
          <t>GeeksforGeeks</t>
        </is>
      </c>
    </row>
    <row r="5">
      <c r="A5" t="inlineStr">
        <is>
          <t>Two pointers</t>
        </is>
      </c>
      <c r="B5" t="inlineStr">
        <is>
          <t>CodeChef</t>
        </is>
      </c>
    </row>
    <row r="6">
      <c r="A6" t="inlineStr">
        <is>
          <t>Sliding window</t>
        </is>
      </c>
      <c r="B6" t="inlineStr">
        <is>
          <t>Other</t>
        </is>
      </c>
    </row>
    <row r="7">
      <c r="A7" t="inlineStr">
        <is>
          <t>Prefix sum</t>
        </is>
      </c>
    </row>
    <row r="8">
      <c r="A8" t="inlineStr">
        <is>
          <t>Stack (valid parentheses, next greater element)</t>
        </is>
      </c>
    </row>
    <row r="9">
      <c r="A9" t="inlineStr">
        <is>
          <t>Queue &amp; deque basics</t>
        </is>
      </c>
    </row>
    <row r="10">
      <c r="A10" t="inlineStr">
        <is>
          <t>Linked list (reverse, middle, cycle)</t>
        </is>
      </c>
    </row>
    <row r="11">
      <c r="A11" t="inlineStr">
        <is>
          <t>Binary search (and binary search on answer)</t>
        </is>
      </c>
    </row>
    <row r="12">
      <c r="A12" t="inlineStr">
        <is>
          <t>Sorting: bubble/selection/insertion + merge/quick idea</t>
        </is>
      </c>
    </row>
    <row r="13">
      <c r="A13" t="inlineStr">
        <is>
          <t>Recursion &amp; backtracking basics</t>
        </is>
      </c>
    </row>
    <row r="14">
      <c r="A14" t="inlineStr">
        <is>
          <t>Trees: traversals, height, diameter</t>
        </is>
      </c>
    </row>
    <row r="15">
      <c r="A15" t="inlineStr">
        <is>
          <t>BST basics</t>
        </is>
      </c>
    </row>
    <row r="16">
      <c r="A16" t="inlineStr">
        <is>
          <t>Heaps / priority queue basics</t>
        </is>
      </c>
    </row>
    <row r="17">
      <c r="A17" t="inlineStr">
        <is>
          <t>Graphs: BFS, DFS, connected components</t>
        </is>
      </c>
    </row>
    <row r="18">
      <c r="A18" t="inlineStr">
        <is>
          <t>Greedy basics</t>
        </is>
      </c>
    </row>
    <row r="19">
      <c r="A19" t="inlineStr">
        <is>
          <t>Dynamic programming intro (climbing stairs, knapsack)</t>
        </is>
      </c>
    </row>
    <row r="20">
      <c r="A20" t="inlineStr">
        <is>
          <t>Bit manipulation basics</t>
        </is>
      </c>
    </row>
  </sheetData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 Agent</dc:creator>
  <dc:title xmlns:dc="http://purl.org/dc/elements/1.1/">Operation Full Stack — Kerala Edition</dc:title>
  <dc:description xmlns:dc="http://purl.org/dc/elements/1.1/">32-week full-stack study tracker for the Kerala / South India job market</dc:description>
  <dcterms:created xmlns:dcterms="http://purl.org/dc/terms/" xmlns:xsi="http://www.w3.org/2001/XMLSchema-instance" xsi:type="dcterms:W3CDTF">2026-10-18T17:46:52Z</dcterms:created>
  <dcterms:modified xmlns:dcterms="http://purl.org/dc/terms/" xmlns:xsi="http://www.w3.org/2001/XMLSchema-instance" xsi:type="dcterms:W3CDTF">2026-10-18T17:46:52Z</dcterms:modified>
</cp:coreProperties>
</file>